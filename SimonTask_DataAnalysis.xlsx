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SoloProject/"/>
    </mc:Choice>
  </mc:AlternateContent>
  <xr:revisionPtr revIDLastSave="457" documentId="11_F25DC773A252ABDACC104854E15A721A5ADE58E9" xr6:coauthVersionLast="47" xr6:coauthVersionMax="47" xr10:uidLastSave="{CD3BCA22-E053-4C5F-9452-0B417801FE7B}"/>
  <bookViews>
    <workbookView xWindow="-110" yWindow="-110" windowWidth="19420" windowHeight="11020" activeTab="2" xr2:uid="{00000000-000D-0000-FFFF-FFFF00000000}"/>
  </bookViews>
  <sheets>
    <sheet name="General Analysis" sheetId="7" r:id="rId1"/>
    <sheet name="JASP- RT" sheetId="8" r:id="rId2"/>
    <sheet name="JASP-Accuracy" sheetId="9" r:id="rId3"/>
    <sheet name="P001" sheetId="1" r:id="rId4"/>
    <sheet name="P002" sheetId="2" r:id="rId5"/>
    <sheet name="P003" sheetId="3" r:id="rId6"/>
    <sheet name="P004" sheetId="4" r:id="rId7"/>
    <sheet name="P005" sheetId="5" r:id="rId8"/>
    <sheet name="P006" sheetId="6" r:id="rId9"/>
  </sheets>
  <definedNames>
    <definedName name="_xlnm._FilterDatabase" localSheetId="3" hidden="1">'P001'!$A$1:$D$1</definedName>
    <definedName name="_xlnm._FilterDatabase" localSheetId="4" hidden="1">'P002'!$A$1:$D$1</definedName>
    <definedName name="_xlnm._FilterDatabase" localSheetId="5" hidden="1">'P003'!$A$1:$D$1</definedName>
    <definedName name="_xlnm._FilterDatabase" localSheetId="6" hidden="1">'P004'!$A$1:$D$1</definedName>
    <definedName name="_xlnm._FilterDatabase" localSheetId="7" hidden="1">'P005'!$A$1:$D$1</definedName>
    <definedName name="_xlnm._FilterDatabase" localSheetId="8" hidden="1">'P006'!$A$1:$D$1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6" l="1"/>
  <c r="M5" i="6"/>
  <c r="N5" i="5"/>
  <c r="M5" i="5"/>
  <c r="N5" i="4"/>
  <c r="M5" i="4"/>
  <c r="N5" i="3"/>
  <c r="M5" i="3"/>
  <c r="M5" i="2"/>
  <c r="L5" i="2"/>
  <c r="M5" i="1"/>
  <c r="L5" i="1"/>
  <c r="J4" i="7"/>
  <c r="J5" i="7"/>
  <c r="J6" i="7"/>
  <c r="J7" i="7"/>
  <c r="J8" i="7"/>
  <c r="J9" i="7"/>
  <c r="H10" i="7"/>
  <c r="I10" i="7"/>
  <c r="E5" i="7"/>
  <c r="E6" i="7"/>
  <c r="E7" i="7"/>
  <c r="E8" i="7"/>
  <c r="E9" i="7"/>
  <c r="E4" i="7"/>
  <c r="D10" i="7"/>
  <c r="C10" i="7"/>
  <c r="I5" i="6"/>
  <c r="H5" i="6"/>
  <c r="I5" i="5"/>
  <c r="H5" i="5"/>
  <c r="H5" i="4"/>
  <c r="I5" i="2"/>
  <c r="H5" i="2"/>
  <c r="I5" i="1"/>
  <c r="H5" i="1"/>
  <c r="M4" i="6"/>
  <c r="M3" i="6"/>
  <c r="N4" i="6"/>
  <c r="N3" i="6"/>
  <c r="H4" i="6"/>
  <c r="H3" i="6"/>
  <c r="I4" i="6"/>
  <c r="I3" i="6"/>
  <c r="M4" i="5"/>
  <c r="M3" i="5"/>
  <c r="N4" i="5"/>
  <c r="N3" i="5"/>
  <c r="H4" i="5"/>
  <c r="H3" i="5"/>
  <c r="I4" i="5"/>
  <c r="I3" i="5"/>
  <c r="M4" i="4"/>
  <c r="M3" i="4"/>
  <c r="N4" i="4"/>
  <c r="N3" i="4"/>
  <c r="H4" i="4"/>
  <c r="H3" i="4"/>
  <c r="I4" i="4"/>
  <c r="I3" i="4"/>
  <c r="M4" i="3"/>
  <c r="M3" i="3"/>
  <c r="N4" i="3"/>
  <c r="N3" i="3"/>
  <c r="H4" i="3"/>
  <c r="H3" i="3"/>
  <c r="I3" i="3"/>
  <c r="I4" i="3"/>
  <c r="L4" i="2"/>
  <c r="L3" i="2"/>
  <c r="M4" i="2"/>
  <c r="M3" i="2"/>
  <c r="H4" i="2"/>
  <c r="H3" i="2"/>
  <c r="I4" i="2"/>
  <c r="I3" i="2"/>
  <c r="I3" i="1"/>
  <c r="I4" i="1"/>
  <c r="H4" i="1"/>
  <c r="H3" i="1"/>
  <c r="M4" i="1"/>
  <c r="L4" i="1"/>
  <c r="M3" i="1"/>
  <c r="L3" i="1"/>
</calcChain>
</file>

<file path=xl/sharedStrings.xml><?xml version="1.0" encoding="utf-8"?>
<sst xmlns="http://schemas.openxmlformats.org/spreadsheetml/2006/main" count="802" uniqueCount="52">
  <si>
    <t>shape</t>
  </si>
  <si>
    <t>correct</t>
  </si>
  <si>
    <t>congruent</t>
  </si>
  <si>
    <t>experiment.key_resp.rt</t>
  </si>
  <si>
    <t>P001</t>
  </si>
  <si>
    <t>square</t>
  </si>
  <si>
    <t>circle</t>
  </si>
  <si>
    <t>P002</t>
  </si>
  <si>
    <t>P003</t>
  </si>
  <si>
    <t>P004</t>
  </si>
  <si>
    <t>P005</t>
  </si>
  <si>
    <t>P006</t>
  </si>
  <si>
    <t>Circle</t>
  </si>
  <si>
    <t>Congruent</t>
  </si>
  <si>
    <t>Incongruent</t>
  </si>
  <si>
    <t>Square</t>
  </si>
  <si>
    <t>Accuracy</t>
  </si>
  <si>
    <t>Response Time</t>
  </si>
  <si>
    <t>Participant</t>
  </si>
  <si>
    <t>Condition</t>
  </si>
  <si>
    <t>Average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</si>
  <si>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</si>
  <si>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</si>
  <si>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</si>
  <si>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</si>
  <si>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</si>
  <si>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</si>
  <si>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</si>
  <si>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</si>
  <si>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</si>
  <si>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</si>
  <si>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</si>
  <si>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</si>
  <si>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Paired Samples T-Test</t>
  </si>
  <si>
    <t>Measure 1</t>
  </si>
  <si>
    <t>Measure 2</t>
  </si>
  <si>
    <t>t</t>
  </si>
  <si>
    <t>p</t>
  </si>
  <si>
    <t>Mean Difference</t>
  </si>
  <si>
    <t>SE Difference</t>
  </si>
  <si>
    <t>Cohen's d</t>
  </si>
  <si>
    <t>SE Cohen's d</t>
  </si>
  <si>
    <t>-</t>
  </si>
  <si>
    <r>
      <t>Note.</t>
    </r>
    <r>
      <rPr>
        <sz val="6"/>
        <color rgb="FF000000"/>
        <rFont val="Arial"/>
        <family val="2"/>
      </rPr>
      <t xml:space="preserve">  Student's t-test.</t>
    </r>
  </si>
  <si>
    <t>Descriptives</t>
  </si>
  <si>
    <t>N</t>
  </si>
  <si>
    <t>SD</t>
  </si>
  <si>
    <t>SE</t>
  </si>
  <si>
    <t>Coefficient of variation</t>
  </si>
  <si>
    <t>Descriptives Plots</t>
  </si>
  <si>
    <t>Congruent - Incongruent</t>
  </si>
  <si>
    <t>Bar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</si>
</sst>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6"/>
      <color rgb="FF000000"/>
      <name val="Arial"/>
      <family val="2"/>
    </font>
    <font>
      <i/>
      <sz val="6"/>
      <color rgb="FF000000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65128</xdr:colOff>
      <xdr:row>23</xdr:row>
      <xdr:rowOff>146537</xdr:rowOff>
    </xdr:from>
    <xdr:to>
      <xdr:col>15</xdr:col>
      <xdr:colOff>149624</xdr:colOff>
      <xdr:row>52</xdr:row>
      <xdr:rowOff>146538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DAF73-9EBA-30D6-DD85-0FABAED60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0" y="4282178"/>
          <a:ext cx="7916162" cy="5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457033</xdr:colOff>
      <xdr:row>21</xdr:row>
      <xdr:rowOff>31048</xdr:rowOff>
    </xdr:from>
    <xdr:to>
      <xdr:col>34</xdr:col>
      <xdr:colOff>51625</xdr:colOff>
      <xdr:row>55</xdr:row>
      <xdr:rowOff>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8E0007-3DC1-8EC8-8CE3-3C97306C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879" y="3808484"/>
          <a:ext cx="9233567" cy="6058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65128</xdr:colOff>
      <xdr:row>24</xdr:row>
      <xdr:rowOff>7146</xdr:rowOff>
    </xdr:from>
    <xdr:to>
      <xdr:col>15</xdr:col>
      <xdr:colOff>149624</xdr:colOff>
      <xdr:row>53</xdr:row>
      <xdr:rowOff>7147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CC423C-7359-DE4B-EFC5-501BEF88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177" y="4483122"/>
          <a:ext cx="7936813" cy="5389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457033</xdr:colOff>
      <xdr:row>21</xdr:row>
      <xdr:rowOff>77511</xdr:rowOff>
    </xdr:from>
    <xdr:to>
      <xdr:col>34</xdr:col>
      <xdr:colOff>51625</xdr:colOff>
      <xdr:row>55</xdr:row>
      <xdr:rowOff>46527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4725F2-1172-3F41-B70F-99902183F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9472" y="3995926"/>
          <a:ext cx="9258982" cy="6288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164629</xdr:rowOff>
    </xdr:from>
    <xdr:to>
      <xdr:col>19</xdr:col>
      <xdr:colOff>470371</xdr:colOff>
      <xdr:row>29</xdr:row>
      <xdr:rowOff>41983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D8F0B-C949-C20C-1955-F96290C5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6296" y="1869722"/>
          <a:ext cx="5362223" cy="3640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254000</xdr:colOff>
      <xdr:row>14</xdr:row>
      <xdr:rowOff>101600</xdr:rowOff>
    </xdr:from>
    <xdr:to>
      <xdr:col>35</xdr:col>
      <xdr:colOff>558800</xdr:colOff>
      <xdr:row>42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0E3D96-C65D-A5B7-F156-70F12FE09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4800" y="2616200"/>
          <a:ext cx="7620000" cy="490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0024-A754-4656-B74E-E02B553E3B42}">
  <dimension ref="B1:J29"/>
  <sheetViews>
    <sheetView zoomScale="88" workbookViewId="0">
      <selection activeCell="G4" sqref="G4:I9"/>
    </sheetView>
  </sheetViews>
  <sheetFormatPr defaultRowHeight="14.5" x14ac:dyDescent="0.35"/>
  <cols>
    <col min="2" max="2" width="26.81640625" bestFit="1" customWidth="1"/>
    <col min="3" max="3" width="31.81640625" bestFit="1" customWidth="1"/>
    <col min="4" max="4" width="10.90625" bestFit="1" customWidth="1"/>
    <col min="5" max="5" width="11.26953125" bestFit="1" customWidth="1"/>
    <col min="7" max="7" width="26.81640625" bestFit="1" customWidth="1"/>
    <col min="8" max="9" width="12.36328125" bestFit="1" customWidth="1"/>
    <col min="10" max="10" width="7.54296875" bestFit="1" customWidth="1"/>
  </cols>
  <sheetData>
    <row r="1" spans="2:10" x14ac:dyDescent="0.35">
      <c r="B1" s="5" t="s">
        <v>16</v>
      </c>
      <c r="C1" s="6"/>
      <c r="D1" s="6"/>
      <c r="E1" s="7"/>
      <c r="G1" s="5" t="s">
        <v>17</v>
      </c>
      <c r="H1" s="6"/>
      <c r="I1" s="6"/>
      <c r="J1" s="7"/>
    </row>
    <row r="2" spans="2:10" x14ac:dyDescent="0.35">
      <c r="B2" s="2" t="s">
        <v>18</v>
      </c>
      <c r="C2" s="4" t="s">
        <v>19</v>
      </c>
      <c r="D2" s="4"/>
      <c r="E2" s="2"/>
      <c r="G2" s="2" t="s">
        <v>18</v>
      </c>
      <c r="H2" s="4" t="s">
        <v>19</v>
      </c>
      <c r="I2" s="4"/>
      <c r="J2" s="2"/>
    </row>
    <row r="3" spans="2:10" x14ac:dyDescent="0.35">
      <c r="B3" s="2"/>
      <c r="C3" s="2" t="s">
        <v>13</v>
      </c>
      <c r="D3" s="2" t="s">
        <v>14</v>
      </c>
      <c r="E3" s="2" t="s">
        <v>20</v>
      </c>
      <c r="G3" s="2"/>
      <c r="H3" s="2" t="s">
        <v>13</v>
      </c>
      <c r="I3" s="2" t="s">
        <v>14</v>
      </c>
      <c r="J3" s="2" t="s">
        <v>20</v>
      </c>
    </row>
    <row r="4" spans="2:10" x14ac:dyDescent="0.35">
      <c r="B4" s="1" t="s">
        <v>4</v>
      </c>
      <c r="C4" s="1">
        <v>12</v>
      </c>
      <c r="D4" s="1">
        <v>16</v>
      </c>
      <c r="E4" s="1">
        <f>AVERAGE(C4:D4)</f>
        <v>14</v>
      </c>
      <c r="G4" s="1" t="s">
        <v>4</v>
      </c>
      <c r="H4" s="1">
        <v>0.67</v>
      </c>
      <c r="I4" s="1">
        <v>0.6</v>
      </c>
      <c r="J4" s="1">
        <f>AVERAGE(H4:I4)</f>
        <v>0.63500000000000001</v>
      </c>
    </row>
    <row r="5" spans="2:10" x14ac:dyDescent="0.35">
      <c r="B5" s="1" t="s">
        <v>7</v>
      </c>
      <c r="C5" s="1">
        <v>18</v>
      </c>
      <c r="D5" s="1">
        <v>14</v>
      </c>
      <c r="E5" s="1">
        <f t="shared" ref="E5:E9" si="0">AVERAGE(C5:D5)</f>
        <v>16</v>
      </c>
      <c r="G5" s="1" t="s">
        <v>7</v>
      </c>
      <c r="H5" s="1">
        <v>0.37</v>
      </c>
      <c r="I5" s="1">
        <v>0.45</v>
      </c>
      <c r="J5" s="1">
        <f t="shared" ref="J5:J9" si="1">AVERAGE(H5:I5)</f>
        <v>0.41000000000000003</v>
      </c>
    </row>
    <row r="6" spans="2:10" x14ac:dyDescent="0.35">
      <c r="B6" s="1" t="s">
        <v>8</v>
      </c>
      <c r="C6" s="1">
        <v>12</v>
      </c>
      <c r="D6" s="1">
        <v>12</v>
      </c>
      <c r="E6" s="1">
        <f t="shared" si="0"/>
        <v>12</v>
      </c>
      <c r="G6" s="1" t="s">
        <v>8</v>
      </c>
      <c r="H6" s="1">
        <v>0.42</v>
      </c>
      <c r="I6" s="1">
        <v>0.44</v>
      </c>
      <c r="J6" s="1">
        <f t="shared" si="1"/>
        <v>0.43</v>
      </c>
    </row>
    <row r="7" spans="2:10" x14ac:dyDescent="0.35">
      <c r="B7" s="1" t="s">
        <v>9</v>
      </c>
      <c r="C7" s="1">
        <v>94</v>
      </c>
      <c r="D7" s="1">
        <v>92</v>
      </c>
      <c r="E7" s="1">
        <f t="shared" si="0"/>
        <v>93</v>
      </c>
      <c r="G7" s="1" t="s">
        <v>9</v>
      </c>
      <c r="H7" s="1">
        <v>0.52</v>
      </c>
      <c r="I7" s="1">
        <v>0.56000000000000005</v>
      </c>
      <c r="J7" s="1">
        <f t="shared" si="1"/>
        <v>0.54</v>
      </c>
    </row>
    <row r="8" spans="2:10" x14ac:dyDescent="0.35">
      <c r="B8" s="1" t="s">
        <v>10</v>
      </c>
      <c r="C8" s="1">
        <v>88</v>
      </c>
      <c r="D8" s="1">
        <v>90</v>
      </c>
      <c r="E8" s="1">
        <f t="shared" si="0"/>
        <v>89</v>
      </c>
      <c r="G8" s="1" t="s">
        <v>10</v>
      </c>
      <c r="H8" s="1">
        <v>0.47</v>
      </c>
      <c r="I8" s="1">
        <v>0.5</v>
      </c>
      <c r="J8" s="1">
        <f t="shared" si="1"/>
        <v>0.48499999999999999</v>
      </c>
    </row>
    <row r="9" spans="2:10" x14ac:dyDescent="0.35">
      <c r="B9" s="1" t="s">
        <v>11</v>
      </c>
      <c r="C9" s="1">
        <v>96</v>
      </c>
      <c r="D9" s="1">
        <v>94</v>
      </c>
      <c r="E9" s="1">
        <f t="shared" si="0"/>
        <v>95</v>
      </c>
      <c r="G9" s="1" t="s">
        <v>11</v>
      </c>
      <c r="H9" s="1">
        <v>0.62</v>
      </c>
      <c r="I9" s="1">
        <v>0.61</v>
      </c>
      <c r="J9" s="1">
        <f t="shared" si="1"/>
        <v>0.61499999999999999</v>
      </c>
    </row>
    <row r="10" spans="2:10" x14ac:dyDescent="0.35">
      <c r="B10" s="2" t="s">
        <v>20</v>
      </c>
      <c r="C10" s="1">
        <f>AVERAGE(C4:C9)</f>
        <v>53.333333333333336</v>
      </c>
      <c r="D10" s="1">
        <f>AVERAGE(D4:D9)</f>
        <v>53</v>
      </c>
      <c r="E10" s="1"/>
      <c r="G10" s="2" t="s">
        <v>20</v>
      </c>
      <c r="H10" s="3">
        <f>AVERAGE(H4:H9)</f>
        <v>0.51166666666666671</v>
      </c>
      <c r="I10" s="3">
        <f>AVERAGE(I4:I9)</f>
        <v>0.52666666666666662</v>
      </c>
      <c r="J10" s="1"/>
    </row>
    <row r="13" spans="2:10" x14ac:dyDescent="0.35">
      <c r="B13" s="8" t="s">
        <v>21</v>
      </c>
      <c r="C13" s="8"/>
      <c r="D13" s="8"/>
      <c r="G13" s="8" t="s">
        <v>21</v>
      </c>
      <c r="H13" s="8"/>
      <c r="I13" s="8"/>
    </row>
    <row r="14" spans="2:10" x14ac:dyDescent="0.35">
      <c r="B14" s="1"/>
      <c r="C14" s="1"/>
      <c r="D14" s="1"/>
      <c r="G14" s="1"/>
      <c r="H14" s="1"/>
      <c r="I14" s="1"/>
    </row>
    <row r="15" spans="2:10" x14ac:dyDescent="0.35">
      <c r="B15" s="10"/>
      <c r="C15" s="10" t="s">
        <v>13</v>
      </c>
      <c r="D15" s="10" t="s">
        <v>14</v>
      </c>
      <c r="G15" s="10"/>
      <c r="H15" s="10" t="s">
        <v>13</v>
      </c>
      <c r="I15" s="10" t="s">
        <v>14</v>
      </c>
    </row>
    <row r="16" spans="2:10" x14ac:dyDescent="0.35">
      <c r="B16" s="11" t="s">
        <v>22</v>
      </c>
      <c r="C16" s="11">
        <v>53.333333333333336</v>
      </c>
      <c r="D16" s="11">
        <v>53</v>
      </c>
      <c r="G16" s="11" t="s">
        <v>22</v>
      </c>
      <c r="H16" s="11">
        <v>0.51166666666666671</v>
      </c>
      <c r="I16" s="11">
        <v>0.52666666666666662</v>
      </c>
    </row>
    <row r="17" spans="2:9" x14ac:dyDescent="0.35">
      <c r="B17" s="11" t="s">
        <v>23</v>
      </c>
      <c r="C17" s="11">
        <v>1868.2666666666664</v>
      </c>
      <c r="D17" s="11">
        <v>1828.4</v>
      </c>
      <c r="G17" s="11" t="s">
        <v>23</v>
      </c>
      <c r="H17" s="11">
        <v>1.3416666666666721E-2</v>
      </c>
      <c r="I17" s="11">
        <v>5.5066666666667707E-3</v>
      </c>
    </row>
    <row r="18" spans="2:9" x14ac:dyDescent="0.35">
      <c r="B18" s="11" t="s">
        <v>24</v>
      </c>
      <c r="C18" s="11">
        <v>6</v>
      </c>
      <c r="D18" s="11">
        <v>6</v>
      </c>
      <c r="G18" s="11" t="s">
        <v>24</v>
      </c>
      <c r="H18" s="11">
        <v>6</v>
      </c>
      <c r="I18" s="11">
        <v>6</v>
      </c>
    </row>
    <row r="19" spans="2:9" x14ac:dyDescent="0.35">
      <c r="B19" s="11" t="s">
        <v>25</v>
      </c>
      <c r="C19" s="11">
        <v>0.99771356687956059</v>
      </c>
      <c r="D19" s="11"/>
      <c r="G19" s="11" t="s">
        <v>25</v>
      </c>
      <c r="H19" s="11">
        <v>0.95011925714633039</v>
      </c>
      <c r="I19" s="11"/>
    </row>
    <row r="20" spans="2:9" x14ac:dyDescent="0.35">
      <c r="B20" s="11" t="s">
        <v>26</v>
      </c>
      <c r="C20" s="11">
        <v>0</v>
      </c>
      <c r="D20" s="11"/>
      <c r="G20" s="11" t="s">
        <v>26</v>
      </c>
      <c r="H20" s="11">
        <v>0</v>
      </c>
      <c r="I20" s="11"/>
    </row>
    <row r="21" spans="2:9" x14ac:dyDescent="0.35">
      <c r="B21" s="11" t="s">
        <v>27</v>
      </c>
      <c r="C21" s="11">
        <v>5</v>
      </c>
      <c r="D21" s="11"/>
      <c r="G21" s="11" t="s">
        <v>27</v>
      </c>
      <c r="H21" s="11">
        <v>5</v>
      </c>
      <c r="I21" s="11"/>
    </row>
    <row r="22" spans="2:9" x14ac:dyDescent="0.35">
      <c r="B22" s="11" t="s">
        <v>28</v>
      </c>
      <c r="C22" s="11">
        <v>0.27735009811261446</v>
      </c>
      <c r="D22" s="11"/>
      <c r="G22" s="11" t="s">
        <v>28</v>
      </c>
      <c r="H22" s="11">
        <v>-0.72196642666783406</v>
      </c>
      <c r="I22" s="11"/>
    </row>
    <row r="23" spans="2:9" x14ac:dyDescent="0.35">
      <c r="B23" s="11" t="s">
        <v>29</v>
      </c>
      <c r="C23" s="11">
        <v>0.39630643533362597</v>
      </c>
      <c r="D23" s="11"/>
      <c r="G23" s="11" t="s">
        <v>29</v>
      </c>
      <c r="H23" s="11">
        <v>0.25132834245271163</v>
      </c>
      <c r="I23" s="11"/>
    </row>
    <row r="24" spans="2:9" x14ac:dyDescent="0.35">
      <c r="B24" s="11" t="s">
        <v>30</v>
      </c>
      <c r="C24" s="11">
        <v>2.0150483733330233</v>
      </c>
      <c r="D24" s="11"/>
      <c r="G24" s="11" t="s">
        <v>30</v>
      </c>
      <c r="H24" s="11">
        <v>2.0150483733330233</v>
      </c>
      <c r="I24" s="11"/>
    </row>
    <row r="25" spans="2:9" x14ac:dyDescent="0.35">
      <c r="B25" s="11" t="s">
        <v>31</v>
      </c>
      <c r="C25" s="11">
        <v>0.79261287066725195</v>
      </c>
      <c r="D25" s="11"/>
      <c r="G25" s="11" t="s">
        <v>31</v>
      </c>
      <c r="H25" s="11">
        <v>0.50265668490542326</v>
      </c>
      <c r="I25" s="11"/>
    </row>
    <row r="26" spans="2:9" x14ac:dyDescent="0.35">
      <c r="B26" s="11" t="s">
        <v>32</v>
      </c>
      <c r="C26" s="11">
        <v>2.570581835636315</v>
      </c>
      <c r="D26" s="11"/>
      <c r="G26" s="11" t="s">
        <v>32</v>
      </c>
      <c r="H26" s="11">
        <v>2.570581835636315</v>
      </c>
      <c r="I26" s="11"/>
    </row>
    <row r="28" spans="2:9" x14ac:dyDescent="0.35">
      <c r="C28" s="9"/>
      <c r="D28" s="9"/>
      <c r="E28" s="9"/>
    </row>
    <row r="29" spans="2:9" x14ac:dyDescent="0.35">
      <c r="C29" s="9"/>
      <c r="D29" s="9"/>
      <c r="E29" s="9"/>
    </row>
  </sheetData>
  <mergeCells count="6">
    <mergeCell ref="C2:D2"/>
    <mergeCell ref="B1:E1"/>
    <mergeCell ref="G1:J1"/>
    <mergeCell ref="H2:I2"/>
    <mergeCell ref="B13:D13"/>
    <mergeCell ref="G13:I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E760-2A4B-4D6D-A0B9-38FE0B492108}">
  <dimension ref="A1:J21"/>
  <sheetViews>
    <sheetView topLeftCell="A7" zoomScale="41" workbookViewId="0">
      <selection activeCell="AL33" sqref="AL33"/>
    </sheetView>
  </sheetViews>
  <sheetFormatPr defaultRowHeight="14.5" x14ac:dyDescent="0.35"/>
  <sheetData>
    <row r="1" spans="1:10" x14ac:dyDescent="0.35">
      <c r="A1" s="12" t="s">
        <v>33</v>
      </c>
    </row>
    <row r="2" spans="1:10" x14ac:dyDescent="0.35">
      <c r="A2" s="17" t="s">
        <v>33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35">
      <c r="A3" s="13" t="s">
        <v>34</v>
      </c>
      <c r="B3" s="13"/>
      <c r="C3" s="13" t="s">
        <v>35</v>
      </c>
      <c r="D3" s="13" t="s">
        <v>36</v>
      </c>
      <c r="E3" s="13" t="s">
        <v>27</v>
      </c>
      <c r="F3" s="13" t="s">
        <v>37</v>
      </c>
      <c r="G3" s="13" t="s">
        <v>38</v>
      </c>
      <c r="H3" s="13" t="s">
        <v>39</v>
      </c>
      <c r="I3" s="13" t="s">
        <v>40</v>
      </c>
      <c r="J3" s="13" t="s">
        <v>41</v>
      </c>
    </row>
    <row r="4" spans="1:10" x14ac:dyDescent="0.35">
      <c r="A4" s="14" t="s">
        <v>13</v>
      </c>
      <c r="B4" s="15" t="s">
        <v>42</v>
      </c>
      <c r="C4" s="14" t="s">
        <v>14</v>
      </c>
      <c r="D4" s="15">
        <v>-0.72199999999999998</v>
      </c>
      <c r="E4" s="15">
        <v>5</v>
      </c>
      <c r="F4" s="15">
        <v>0.503</v>
      </c>
      <c r="G4" s="15">
        <v>-1.4999999999999999E-2</v>
      </c>
      <c r="H4" s="15">
        <v>2.1000000000000001E-2</v>
      </c>
      <c r="I4" s="15">
        <v>-0.29499999999999998</v>
      </c>
      <c r="J4" s="15">
        <v>0.13200000000000001</v>
      </c>
    </row>
    <row r="5" spans="1:10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35">
      <c r="A6" s="17" t="s">
        <v>43</v>
      </c>
      <c r="B6" s="17"/>
      <c r="C6" s="17"/>
      <c r="D6" s="17"/>
      <c r="E6" s="17"/>
      <c r="F6" s="17"/>
      <c r="G6" s="17"/>
      <c r="H6" s="17"/>
      <c r="I6" s="17"/>
      <c r="J6" s="17"/>
    </row>
    <row r="8" spans="1:10" x14ac:dyDescent="0.35">
      <c r="A8" s="19" t="s">
        <v>44</v>
      </c>
    </row>
    <row r="9" spans="1:10" x14ac:dyDescent="0.35">
      <c r="A9" s="17" t="s">
        <v>44</v>
      </c>
      <c r="B9" s="17"/>
      <c r="C9" s="17"/>
      <c r="D9" s="17"/>
      <c r="E9" s="17"/>
      <c r="F9" s="17"/>
    </row>
    <row r="10" spans="1:10" ht="16" x14ac:dyDescent="0.35">
      <c r="A10" s="13"/>
      <c r="B10" s="13" t="s">
        <v>45</v>
      </c>
      <c r="C10" s="13" t="s">
        <v>22</v>
      </c>
      <c r="D10" s="13" t="s">
        <v>46</v>
      </c>
      <c r="E10" s="13" t="s">
        <v>47</v>
      </c>
      <c r="F10" s="13" t="s">
        <v>48</v>
      </c>
    </row>
    <row r="11" spans="1:10" x14ac:dyDescent="0.35">
      <c r="A11" s="14" t="s">
        <v>13</v>
      </c>
      <c r="B11" s="15">
        <v>6</v>
      </c>
      <c r="C11" s="15">
        <v>0.51200000000000001</v>
      </c>
      <c r="D11" s="15">
        <v>0.11600000000000001</v>
      </c>
      <c r="E11" s="15">
        <v>4.7E-2</v>
      </c>
      <c r="F11" s="15">
        <v>0.22600000000000001</v>
      </c>
    </row>
    <row r="12" spans="1:10" x14ac:dyDescent="0.35">
      <c r="A12" s="20" t="s">
        <v>14</v>
      </c>
      <c r="B12" s="16">
        <v>6</v>
      </c>
      <c r="C12" s="16">
        <v>0.52700000000000002</v>
      </c>
      <c r="D12" s="16">
        <v>7.3999999999999996E-2</v>
      </c>
      <c r="E12" s="16">
        <v>0.03</v>
      </c>
      <c r="F12" s="16">
        <v>0.14099999999999999</v>
      </c>
    </row>
    <row r="13" spans="1:10" x14ac:dyDescent="0.35">
      <c r="A13" s="21"/>
      <c r="B13" s="21"/>
      <c r="C13" s="21"/>
      <c r="D13" s="21"/>
      <c r="E13" s="21"/>
      <c r="F13" s="21"/>
    </row>
    <row r="15" spans="1:10" x14ac:dyDescent="0.35">
      <c r="A15" s="22" t="s">
        <v>49</v>
      </c>
    </row>
    <row r="16" spans="1:10" x14ac:dyDescent="0.35">
      <c r="A16" s="23" t="s">
        <v>50</v>
      </c>
    </row>
    <row r="20" spans="1:1" x14ac:dyDescent="0.35">
      <c r="A20" s="22" t="s">
        <v>51</v>
      </c>
    </row>
    <row r="21" spans="1:1" x14ac:dyDescent="0.35">
      <c r="A21" s="23" t="s">
        <v>50</v>
      </c>
    </row>
  </sheetData>
  <mergeCells count="5">
    <mergeCell ref="A2:J2"/>
    <mergeCell ref="A5:J5"/>
    <mergeCell ref="A6:J6"/>
    <mergeCell ref="A9:F9"/>
    <mergeCell ref="A13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1E3F-4CF6-48DD-BD3B-3A3E460D599B}">
  <dimension ref="A1:X12"/>
  <sheetViews>
    <sheetView tabSelected="1" zoomScale="77" workbookViewId="0">
      <selection sqref="A1:J5"/>
    </sheetView>
  </sheetViews>
  <sheetFormatPr defaultRowHeight="14.5" x14ac:dyDescent="0.35"/>
  <sheetData>
    <row r="1" spans="1:24" x14ac:dyDescent="0.35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</row>
    <row r="2" spans="1:24" x14ac:dyDescent="0.35">
      <c r="A2" s="13" t="s">
        <v>34</v>
      </c>
      <c r="B2" s="13"/>
      <c r="C2" s="13" t="s">
        <v>35</v>
      </c>
      <c r="D2" s="13" t="s">
        <v>36</v>
      </c>
      <c r="E2" s="13" t="s">
        <v>27</v>
      </c>
      <c r="F2" s="13" t="s">
        <v>37</v>
      </c>
      <c r="G2" s="13" t="s">
        <v>38</v>
      </c>
      <c r="H2" s="13" t="s">
        <v>39</v>
      </c>
      <c r="I2" s="13" t="s">
        <v>40</v>
      </c>
      <c r="J2" s="13" t="s">
        <v>41</v>
      </c>
    </row>
    <row r="3" spans="1:24" x14ac:dyDescent="0.35">
      <c r="A3" s="24" t="s">
        <v>13</v>
      </c>
      <c r="B3" s="25" t="s">
        <v>42</v>
      </c>
      <c r="C3" s="24" t="s">
        <v>14</v>
      </c>
      <c r="D3" s="25">
        <v>0.27700000000000002</v>
      </c>
      <c r="E3" s="25">
        <v>5</v>
      </c>
      <c r="F3" s="25">
        <v>0.79300000000000004</v>
      </c>
      <c r="G3" s="25">
        <v>0.33300000000000002</v>
      </c>
      <c r="H3" s="25">
        <v>1.202</v>
      </c>
      <c r="I3" s="25">
        <v>0.113</v>
      </c>
      <c r="J3" s="25">
        <v>2.8000000000000001E-2</v>
      </c>
    </row>
    <row r="4" spans="1:24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24" x14ac:dyDescent="0.35">
      <c r="A5" s="17" t="s">
        <v>43</v>
      </c>
      <c r="B5" s="17"/>
      <c r="C5" s="17"/>
      <c r="D5" s="17"/>
      <c r="E5" s="17"/>
      <c r="F5" s="17"/>
      <c r="G5" s="17"/>
      <c r="H5" s="17"/>
      <c r="I5" s="17"/>
      <c r="J5" s="17"/>
    </row>
    <row r="8" spans="1:24" x14ac:dyDescent="0.35">
      <c r="A8" s="17" t="s">
        <v>44</v>
      </c>
      <c r="B8" s="17"/>
      <c r="C8" s="17"/>
      <c r="D8" s="17"/>
      <c r="E8" s="17"/>
      <c r="F8" s="17"/>
    </row>
    <row r="9" spans="1:24" ht="16" x14ac:dyDescent="0.35">
      <c r="A9" s="13"/>
      <c r="B9" s="13" t="s">
        <v>45</v>
      </c>
      <c r="C9" s="13" t="s">
        <v>22</v>
      </c>
      <c r="D9" s="13" t="s">
        <v>46</v>
      </c>
      <c r="E9" s="13" t="s">
        <v>47</v>
      </c>
      <c r="F9" s="13" t="s">
        <v>48</v>
      </c>
      <c r="L9" s="23" t="s">
        <v>50</v>
      </c>
    </row>
    <row r="10" spans="1:24" x14ac:dyDescent="0.35">
      <c r="A10" s="14" t="s">
        <v>13</v>
      </c>
      <c r="B10" s="15">
        <v>6</v>
      </c>
      <c r="C10" s="15">
        <v>53.33</v>
      </c>
      <c r="D10" s="15">
        <v>43.22</v>
      </c>
      <c r="E10" s="15">
        <v>17.649999999999999</v>
      </c>
      <c r="F10" s="15">
        <v>0.81</v>
      </c>
    </row>
    <row r="11" spans="1:24" x14ac:dyDescent="0.35">
      <c r="A11" s="20" t="s">
        <v>14</v>
      </c>
      <c r="B11" s="16">
        <v>6</v>
      </c>
      <c r="C11" s="16">
        <v>53</v>
      </c>
      <c r="D11" s="16">
        <v>42.76</v>
      </c>
      <c r="E11" s="16">
        <v>17.46</v>
      </c>
      <c r="F11" s="16">
        <v>0.80700000000000005</v>
      </c>
    </row>
    <row r="12" spans="1:24" x14ac:dyDescent="0.35">
      <c r="A12" s="21"/>
      <c r="B12" s="21"/>
      <c r="C12" s="21"/>
      <c r="D12" s="21"/>
      <c r="E12" s="21"/>
      <c r="F12" s="21"/>
      <c r="X12" s="23" t="s">
        <v>50</v>
      </c>
    </row>
  </sheetData>
  <mergeCells count="5">
    <mergeCell ref="A1:J1"/>
    <mergeCell ref="A4:J4"/>
    <mergeCell ref="A5:J5"/>
    <mergeCell ref="A8:F8"/>
    <mergeCell ref="A12:F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zoomScale="89" workbookViewId="0">
      <selection activeCell="K1" sqref="K1:M5"/>
    </sheetView>
  </sheetViews>
  <sheetFormatPr defaultRowHeight="14.5" x14ac:dyDescent="0.35"/>
  <cols>
    <col min="1" max="1" width="8.54296875" bestFit="1" customWidth="1"/>
    <col min="2" max="2" width="16.453125" customWidth="1"/>
    <col min="3" max="3" width="20.453125" customWidth="1"/>
    <col min="4" max="4" width="20.90625" bestFit="1" customWidth="1"/>
    <col min="7" max="7" width="7.7265625" bestFit="1" customWidth="1"/>
    <col min="8" max="8" width="9.90625" bestFit="1" customWidth="1"/>
    <col min="9" max="9" width="11.1796875" bestFit="1" customWidth="1"/>
    <col min="11" max="11" width="7.7265625" bestFit="1" customWidth="1"/>
    <col min="12" max="12" width="11.08984375" bestFit="1" customWidth="1"/>
    <col min="13" max="13" width="12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G1" s="8" t="s">
        <v>16</v>
      </c>
      <c r="H1" s="8"/>
      <c r="I1" s="8"/>
      <c r="K1" s="8" t="s">
        <v>17</v>
      </c>
      <c r="L1" s="8"/>
      <c r="M1" s="8"/>
    </row>
    <row r="2" spans="1:13" x14ac:dyDescent="0.35">
      <c r="A2" t="s">
        <v>6</v>
      </c>
      <c r="B2">
        <v>1</v>
      </c>
      <c r="C2">
        <v>0</v>
      </c>
      <c r="D2">
        <v>0.68354990000000004</v>
      </c>
      <c r="G2" s="1"/>
      <c r="H2" s="1" t="s">
        <v>13</v>
      </c>
      <c r="I2" s="1" t="s">
        <v>14</v>
      </c>
      <c r="K2" s="1"/>
      <c r="L2" s="1" t="s">
        <v>13</v>
      </c>
      <c r="M2" s="1" t="s">
        <v>14</v>
      </c>
    </row>
    <row r="3" spans="1:13" x14ac:dyDescent="0.35">
      <c r="A3" t="s">
        <v>6</v>
      </c>
      <c r="B3">
        <v>1</v>
      </c>
      <c r="C3">
        <v>0</v>
      </c>
      <c r="D3">
        <v>0.5571914</v>
      </c>
      <c r="G3" s="1" t="s">
        <v>12</v>
      </c>
      <c r="H3" s="1">
        <f>4/25*100</f>
        <v>16</v>
      </c>
      <c r="I3" s="1">
        <f>4/25*100</f>
        <v>16</v>
      </c>
      <c r="K3" s="1" t="s">
        <v>12</v>
      </c>
      <c r="L3" s="1">
        <f>AVERAGE(D6:D9)</f>
        <v>0.58769205000000002</v>
      </c>
      <c r="M3" s="1">
        <f>AVERAGE(D2:D5)</f>
        <v>0.59165477499999997</v>
      </c>
    </row>
    <row r="4" spans="1:13" x14ac:dyDescent="0.35">
      <c r="A4" t="s">
        <v>6</v>
      </c>
      <c r="B4">
        <v>1</v>
      </c>
      <c r="C4">
        <v>0</v>
      </c>
      <c r="D4">
        <v>0.47239170000000003</v>
      </c>
      <c r="G4" s="1" t="s">
        <v>15</v>
      </c>
      <c r="H4" s="1">
        <f>2/25*100</f>
        <v>8</v>
      </c>
      <c r="I4" s="1">
        <f>4/25*100</f>
        <v>16</v>
      </c>
      <c r="K4" s="1" t="s">
        <v>15</v>
      </c>
      <c r="L4" s="1">
        <f>AVERAGE(D14:D15)</f>
        <v>0.75339575000000003</v>
      </c>
      <c r="M4" s="1">
        <f>AVERAGE(D10:D13)</f>
        <v>0.61350677500000006</v>
      </c>
    </row>
    <row r="5" spans="1:13" x14ac:dyDescent="0.35">
      <c r="A5" t="s">
        <v>6</v>
      </c>
      <c r="B5">
        <v>1</v>
      </c>
      <c r="C5">
        <v>0</v>
      </c>
      <c r="D5">
        <v>0.65348609999999996</v>
      </c>
      <c r="G5" s="1" t="s">
        <v>20</v>
      </c>
      <c r="H5" s="1">
        <f>AVERAGE(H3:H4)</f>
        <v>12</v>
      </c>
      <c r="I5" s="1">
        <f>AVERAGE(I3:I4)</f>
        <v>16</v>
      </c>
      <c r="K5" s="1" t="s">
        <v>20</v>
      </c>
      <c r="L5" s="1">
        <f>AVERAGE(L3:L4)</f>
        <v>0.67054389999999997</v>
      </c>
      <c r="M5" s="1">
        <f>AVERAGE(M3:M4)</f>
        <v>0.60258077500000007</v>
      </c>
    </row>
    <row r="6" spans="1:13" x14ac:dyDescent="0.35">
      <c r="A6" t="s">
        <v>6</v>
      </c>
      <c r="B6">
        <v>1</v>
      </c>
      <c r="C6">
        <v>1</v>
      </c>
      <c r="D6">
        <v>0.59234540000000002</v>
      </c>
    </row>
    <row r="7" spans="1:13" x14ac:dyDescent="0.35">
      <c r="A7" t="s">
        <v>6</v>
      </c>
      <c r="B7">
        <v>1</v>
      </c>
      <c r="C7">
        <v>1</v>
      </c>
      <c r="D7">
        <v>0.68696239999999997</v>
      </c>
    </row>
    <row r="8" spans="1:13" x14ac:dyDescent="0.35">
      <c r="A8" t="s">
        <v>6</v>
      </c>
      <c r="B8">
        <v>1</v>
      </c>
      <c r="C8">
        <v>1</v>
      </c>
      <c r="D8">
        <v>0.44776769999999999</v>
      </c>
    </row>
    <row r="9" spans="1:13" x14ac:dyDescent="0.35">
      <c r="A9" t="s">
        <v>6</v>
      </c>
      <c r="B9">
        <v>1</v>
      </c>
      <c r="C9">
        <v>1</v>
      </c>
      <c r="D9">
        <v>0.62369269999999999</v>
      </c>
    </row>
    <row r="10" spans="1:13" x14ac:dyDescent="0.35">
      <c r="A10" t="s">
        <v>5</v>
      </c>
      <c r="B10">
        <v>1</v>
      </c>
      <c r="C10">
        <v>0</v>
      </c>
      <c r="D10">
        <v>0.61083489999999996</v>
      </c>
    </row>
    <row r="11" spans="1:13" x14ac:dyDescent="0.35">
      <c r="A11" t="s">
        <v>5</v>
      </c>
      <c r="B11">
        <v>1</v>
      </c>
      <c r="C11">
        <v>0</v>
      </c>
      <c r="D11">
        <v>0.60144529999999996</v>
      </c>
    </row>
    <row r="12" spans="1:13" x14ac:dyDescent="0.35">
      <c r="A12" t="s">
        <v>5</v>
      </c>
      <c r="B12">
        <v>1</v>
      </c>
      <c r="C12">
        <v>0</v>
      </c>
      <c r="D12">
        <v>0.5777236</v>
      </c>
    </row>
    <row r="13" spans="1:13" x14ac:dyDescent="0.35">
      <c r="A13" t="s">
        <v>5</v>
      </c>
      <c r="B13">
        <v>1</v>
      </c>
      <c r="C13">
        <v>0</v>
      </c>
      <c r="D13">
        <v>0.66402329999999998</v>
      </c>
    </row>
    <row r="14" spans="1:13" x14ac:dyDescent="0.35">
      <c r="A14" t="s">
        <v>5</v>
      </c>
      <c r="B14">
        <v>1</v>
      </c>
      <c r="C14">
        <v>1</v>
      </c>
      <c r="D14">
        <v>0.67321330000000001</v>
      </c>
    </row>
    <row r="15" spans="1:13" x14ac:dyDescent="0.35">
      <c r="A15" t="s">
        <v>5</v>
      </c>
      <c r="B15">
        <v>1</v>
      </c>
      <c r="C15">
        <v>1</v>
      </c>
      <c r="D15">
        <v>0.83357820000000005</v>
      </c>
    </row>
    <row r="16" spans="1:13" x14ac:dyDescent="0.35">
      <c r="A16" t="s">
        <v>6</v>
      </c>
      <c r="B16">
        <v>0</v>
      </c>
      <c r="C16">
        <v>0</v>
      </c>
      <c r="D16">
        <v>0.99210050000000005</v>
      </c>
    </row>
    <row r="17" spans="1:4" x14ac:dyDescent="0.35">
      <c r="A17" t="s">
        <v>6</v>
      </c>
      <c r="B17">
        <v>0</v>
      </c>
      <c r="C17">
        <v>0</v>
      </c>
      <c r="D17">
        <v>0.64406479999999999</v>
      </c>
    </row>
    <row r="18" spans="1:4" x14ac:dyDescent="0.35">
      <c r="A18" t="s">
        <v>6</v>
      </c>
      <c r="B18">
        <v>0</v>
      </c>
      <c r="C18">
        <v>0</v>
      </c>
      <c r="D18">
        <v>0.47199410000000003</v>
      </c>
    </row>
    <row r="19" spans="1:4" x14ac:dyDescent="0.35">
      <c r="A19" t="s">
        <v>6</v>
      </c>
      <c r="B19">
        <v>0</v>
      </c>
      <c r="C19">
        <v>0</v>
      </c>
      <c r="D19">
        <v>0.62959169999999998</v>
      </c>
    </row>
    <row r="20" spans="1:4" x14ac:dyDescent="0.35">
      <c r="A20" t="s">
        <v>6</v>
      </c>
      <c r="B20">
        <v>0</v>
      </c>
      <c r="C20">
        <v>0</v>
      </c>
      <c r="D20">
        <v>0.46950769999999997</v>
      </c>
    </row>
    <row r="21" spans="1:4" x14ac:dyDescent="0.35">
      <c r="A21" t="s">
        <v>6</v>
      </c>
      <c r="B21">
        <v>0</v>
      </c>
      <c r="C21">
        <v>0</v>
      </c>
      <c r="D21">
        <v>0.72947289999999998</v>
      </c>
    </row>
    <row r="22" spans="1:4" x14ac:dyDescent="0.35">
      <c r="A22" t="s">
        <v>6</v>
      </c>
      <c r="B22">
        <v>0</v>
      </c>
      <c r="C22">
        <v>0</v>
      </c>
      <c r="D22">
        <v>0.71703890000000003</v>
      </c>
    </row>
    <row r="23" spans="1:4" x14ac:dyDescent="0.35">
      <c r="A23" t="s">
        <v>6</v>
      </c>
      <c r="B23">
        <v>0</v>
      </c>
      <c r="C23">
        <v>0</v>
      </c>
      <c r="D23">
        <v>0.37749860000000002</v>
      </c>
    </row>
    <row r="24" spans="1:4" x14ac:dyDescent="0.35">
      <c r="A24" t="s">
        <v>6</v>
      </c>
      <c r="B24">
        <v>0</v>
      </c>
      <c r="C24">
        <v>0</v>
      </c>
      <c r="D24">
        <v>0.4559743</v>
      </c>
    </row>
    <row r="25" spans="1:4" x14ac:dyDescent="0.35">
      <c r="A25" t="s">
        <v>6</v>
      </c>
      <c r="B25">
        <v>0</v>
      </c>
      <c r="C25">
        <v>0</v>
      </c>
      <c r="D25">
        <v>0.58219989999999999</v>
      </c>
    </row>
    <row r="26" spans="1:4" x14ac:dyDescent="0.35">
      <c r="A26" t="s">
        <v>6</v>
      </c>
      <c r="B26">
        <v>0</v>
      </c>
      <c r="C26">
        <v>0</v>
      </c>
      <c r="D26">
        <v>0.73863350000000005</v>
      </c>
    </row>
    <row r="27" spans="1:4" x14ac:dyDescent="0.35">
      <c r="A27" t="s">
        <v>6</v>
      </c>
      <c r="B27">
        <v>0</v>
      </c>
      <c r="C27">
        <v>0</v>
      </c>
      <c r="D27">
        <v>0.68844689999999997</v>
      </c>
    </row>
    <row r="28" spans="1:4" x14ac:dyDescent="0.35">
      <c r="A28" t="s">
        <v>6</v>
      </c>
      <c r="B28">
        <v>0</v>
      </c>
      <c r="C28">
        <v>0</v>
      </c>
      <c r="D28">
        <v>0.4860989</v>
      </c>
    </row>
    <row r="29" spans="1:4" x14ac:dyDescent="0.35">
      <c r="A29" t="s">
        <v>6</v>
      </c>
      <c r="B29">
        <v>0</v>
      </c>
      <c r="C29">
        <v>0</v>
      </c>
      <c r="D29">
        <v>0.50332480000000002</v>
      </c>
    </row>
    <row r="30" spans="1:4" x14ac:dyDescent="0.35">
      <c r="A30" t="s">
        <v>6</v>
      </c>
      <c r="B30">
        <v>0</v>
      </c>
      <c r="C30">
        <v>0</v>
      </c>
      <c r="D30">
        <v>0.4568412</v>
      </c>
    </row>
    <row r="31" spans="1:4" x14ac:dyDescent="0.35">
      <c r="A31" t="s">
        <v>6</v>
      </c>
      <c r="B31">
        <v>0</v>
      </c>
      <c r="C31">
        <v>0</v>
      </c>
      <c r="D31">
        <v>0.56125959999999997</v>
      </c>
    </row>
    <row r="32" spans="1:4" x14ac:dyDescent="0.35">
      <c r="A32" t="s">
        <v>6</v>
      </c>
      <c r="B32">
        <v>0</v>
      </c>
      <c r="C32">
        <v>0</v>
      </c>
      <c r="D32">
        <v>0.51824400000000004</v>
      </c>
    </row>
    <row r="33" spans="1:4" x14ac:dyDescent="0.35">
      <c r="A33" t="s">
        <v>6</v>
      </c>
      <c r="B33">
        <v>0</v>
      </c>
      <c r="C33">
        <v>0</v>
      </c>
      <c r="D33">
        <v>0.70169199999999998</v>
      </c>
    </row>
    <row r="34" spans="1:4" x14ac:dyDescent="0.35">
      <c r="A34" t="s">
        <v>6</v>
      </c>
      <c r="B34">
        <v>0</v>
      </c>
      <c r="C34">
        <v>0</v>
      </c>
      <c r="D34">
        <v>0.59641710000000003</v>
      </c>
    </row>
    <row r="35" spans="1:4" x14ac:dyDescent="0.35">
      <c r="A35" t="s">
        <v>6</v>
      </c>
      <c r="B35">
        <v>0</v>
      </c>
      <c r="C35">
        <v>0</v>
      </c>
      <c r="D35">
        <v>0.57690129999999995</v>
      </c>
    </row>
    <row r="36" spans="1:4" x14ac:dyDescent="0.35">
      <c r="A36" t="s">
        <v>6</v>
      </c>
      <c r="B36">
        <v>0</v>
      </c>
      <c r="C36">
        <v>0</v>
      </c>
      <c r="D36">
        <v>0.49949179999999999</v>
      </c>
    </row>
    <row r="37" spans="1:4" x14ac:dyDescent="0.35">
      <c r="A37" t="s">
        <v>6</v>
      </c>
      <c r="B37">
        <v>0</v>
      </c>
      <c r="C37">
        <v>1</v>
      </c>
      <c r="D37">
        <v>0.5625578</v>
      </c>
    </row>
    <row r="38" spans="1:4" x14ac:dyDescent="0.35">
      <c r="A38" t="s">
        <v>6</v>
      </c>
      <c r="B38">
        <v>0</v>
      </c>
      <c r="C38">
        <v>1</v>
      </c>
      <c r="D38">
        <v>0.56987980000000005</v>
      </c>
    </row>
    <row r="39" spans="1:4" x14ac:dyDescent="0.35">
      <c r="A39" t="s">
        <v>6</v>
      </c>
      <c r="B39">
        <v>0</v>
      </c>
      <c r="C39">
        <v>1</v>
      </c>
      <c r="D39">
        <v>0.58650869999999999</v>
      </c>
    </row>
    <row r="40" spans="1:4" x14ac:dyDescent="0.35">
      <c r="A40" t="s">
        <v>6</v>
      </c>
      <c r="B40">
        <v>0</v>
      </c>
      <c r="C40">
        <v>1</v>
      </c>
      <c r="D40">
        <v>0.58374099999999995</v>
      </c>
    </row>
    <row r="41" spans="1:4" x14ac:dyDescent="0.35">
      <c r="A41" t="s">
        <v>6</v>
      </c>
      <c r="B41">
        <v>0</v>
      </c>
      <c r="C41">
        <v>1</v>
      </c>
      <c r="D41">
        <v>0.45874300000000001</v>
      </c>
    </row>
    <row r="42" spans="1:4" x14ac:dyDescent="0.35">
      <c r="A42" t="s">
        <v>6</v>
      </c>
      <c r="B42">
        <v>0</v>
      </c>
      <c r="C42">
        <v>1</v>
      </c>
      <c r="D42">
        <v>0.64640620000000004</v>
      </c>
    </row>
    <row r="43" spans="1:4" x14ac:dyDescent="0.35">
      <c r="A43" t="s">
        <v>6</v>
      </c>
      <c r="B43">
        <v>0</v>
      </c>
      <c r="C43">
        <v>1</v>
      </c>
      <c r="D43">
        <v>0.69982650000000002</v>
      </c>
    </row>
    <row r="44" spans="1:4" x14ac:dyDescent="0.35">
      <c r="A44" t="s">
        <v>6</v>
      </c>
      <c r="B44">
        <v>0</v>
      </c>
      <c r="C44">
        <v>1</v>
      </c>
      <c r="D44">
        <v>0.58487100000000003</v>
      </c>
    </row>
    <row r="45" spans="1:4" x14ac:dyDescent="0.35">
      <c r="A45" t="s">
        <v>6</v>
      </c>
      <c r="B45">
        <v>0</v>
      </c>
      <c r="C45">
        <v>1</v>
      </c>
      <c r="D45">
        <v>0.49111110000000002</v>
      </c>
    </row>
    <row r="46" spans="1:4" x14ac:dyDescent="0.35">
      <c r="A46" t="s">
        <v>6</v>
      </c>
      <c r="B46">
        <v>0</v>
      </c>
      <c r="C46">
        <v>1</v>
      </c>
      <c r="D46">
        <v>0.43785849999999998</v>
      </c>
    </row>
    <row r="47" spans="1:4" x14ac:dyDescent="0.35">
      <c r="A47" t="s">
        <v>6</v>
      </c>
      <c r="B47">
        <v>0</v>
      </c>
      <c r="C47">
        <v>1</v>
      </c>
      <c r="D47">
        <v>0.514046</v>
      </c>
    </row>
    <row r="48" spans="1:4" x14ac:dyDescent="0.35">
      <c r="A48" t="s">
        <v>6</v>
      </c>
      <c r="B48">
        <v>0</v>
      </c>
      <c r="C48">
        <v>1</v>
      </c>
      <c r="D48">
        <v>0.39468209999999998</v>
      </c>
    </row>
    <row r="49" spans="1:4" x14ac:dyDescent="0.35">
      <c r="A49" t="s">
        <v>6</v>
      </c>
      <c r="B49">
        <v>0</v>
      </c>
      <c r="C49">
        <v>1</v>
      </c>
      <c r="D49">
        <v>0.80109160000000001</v>
      </c>
    </row>
    <row r="50" spans="1:4" x14ac:dyDescent="0.35">
      <c r="A50" t="s">
        <v>6</v>
      </c>
      <c r="B50">
        <v>0</v>
      </c>
      <c r="C50">
        <v>1</v>
      </c>
      <c r="D50">
        <v>0.52083310000000005</v>
      </c>
    </row>
    <row r="51" spans="1:4" x14ac:dyDescent="0.35">
      <c r="A51" t="s">
        <v>6</v>
      </c>
      <c r="B51">
        <v>0</v>
      </c>
      <c r="C51">
        <v>1</v>
      </c>
      <c r="D51">
        <v>0.73787130000000001</v>
      </c>
    </row>
    <row r="52" spans="1:4" x14ac:dyDescent="0.35">
      <c r="A52" t="s">
        <v>6</v>
      </c>
      <c r="B52">
        <v>0</v>
      </c>
      <c r="C52">
        <v>1</v>
      </c>
      <c r="D52">
        <v>0.46137840000000002</v>
      </c>
    </row>
    <row r="53" spans="1:4" x14ac:dyDescent="0.35">
      <c r="A53" t="s">
        <v>6</v>
      </c>
      <c r="B53">
        <v>0</v>
      </c>
      <c r="C53">
        <v>1</v>
      </c>
      <c r="D53">
        <v>0.62084430000000002</v>
      </c>
    </row>
    <row r="54" spans="1:4" x14ac:dyDescent="0.35">
      <c r="A54" t="s">
        <v>6</v>
      </c>
      <c r="B54">
        <v>0</v>
      </c>
      <c r="C54">
        <v>1</v>
      </c>
      <c r="D54">
        <v>0.50335149999999995</v>
      </c>
    </row>
    <row r="55" spans="1:4" x14ac:dyDescent="0.35">
      <c r="A55" t="s">
        <v>6</v>
      </c>
      <c r="B55">
        <v>0</v>
      </c>
      <c r="C55">
        <v>1</v>
      </c>
      <c r="D55">
        <v>0.87838899999999998</v>
      </c>
    </row>
    <row r="56" spans="1:4" x14ac:dyDescent="0.35">
      <c r="A56" t="s">
        <v>6</v>
      </c>
      <c r="B56">
        <v>0</v>
      </c>
      <c r="C56">
        <v>1</v>
      </c>
      <c r="D56">
        <v>0.5596158</v>
      </c>
    </row>
    <row r="57" spans="1:4" x14ac:dyDescent="0.35">
      <c r="A57" t="s">
        <v>6</v>
      </c>
      <c r="B57">
        <v>0</v>
      </c>
      <c r="C57">
        <v>1</v>
      </c>
      <c r="D57">
        <v>0.53474580000000005</v>
      </c>
    </row>
    <row r="58" spans="1:4" x14ac:dyDescent="0.35">
      <c r="A58" t="s">
        <v>5</v>
      </c>
      <c r="B58">
        <v>0</v>
      </c>
      <c r="C58">
        <v>0</v>
      </c>
      <c r="D58">
        <v>0.6793614</v>
      </c>
    </row>
    <row r="59" spans="1:4" x14ac:dyDescent="0.35">
      <c r="A59" t="s">
        <v>5</v>
      </c>
      <c r="B59">
        <v>0</v>
      </c>
      <c r="C59">
        <v>0</v>
      </c>
      <c r="D59">
        <v>0.47080840000000002</v>
      </c>
    </row>
    <row r="60" spans="1:4" x14ac:dyDescent="0.35">
      <c r="A60" t="s">
        <v>5</v>
      </c>
      <c r="B60">
        <v>0</v>
      </c>
      <c r="C60">
        <v>0</v>
      </c>
      <c r="D60">
        <v>0.71824030000000005</v>
      </c>
    </row>
    <row r="61" spans="1:4" x14ac:dyDescent="0.35">
      <c r="A61" t="s">
        <v>5</v>
      </c>
      <c r="B61">
        <v>0</v>
      </c>
      <c r="C61">
        <v>0</v>
      </c>
      <c r="D61">
        <v>0.60707710000000004</v>
      </c>
    </row>
    <row r="62" spans="1:4" x14ac:dyDescent="0.35">
      <c r="A62" t="s">
        <v>5</v>
      </c>
      <c r="B62">
        <v>0</v>
      </c>
      <c r="C62">
        <v>0</v>
      </c>
      <c r="D62">
        <v>0.75597139999999996</v>
      </c>
    </row>
    <row r="63" spans="1:4" x14ac:dyDescent="0.35">
      <c r="A63" t="s">
        <v>5</v>
      </c>
      <c r="B63">
        <v>0</v>
      </c>
      <c r="C63">
        <v>0</v>
      </c>
      <c r="D63">
        <v>0.46977229999999998</v>
      </c>
    </row>
    <row r="64" spans="1:4" x14ac:dyDescent="0.35">
      <c r="A64" t="s">
        <v>5</v>
      </c>
      <c r="B64">
        <v>0</v>
      </c>
      <c r="C64">
        <v>0</v>
      </c>
      <c r="D64">
        <v>0.50330870000000005</v>
      </c>
    </row>
    <row r="65" spans="1:4" x14ac:dyDescent="0.35">
      <c r="A65" t="s">
        <v>5</v>
      </c>
      <c r="B65">
        <v>0</v>
      </c>
      <c r="C65">
        <v>0</v>
      </c>
      <c r="D65">
        <v>0.38833139999999999</v>
      </c>
    </row>
    <row r="66" spans="1:4" x14ac:dyDescent="0.35">
      <c r="A66" t="s">
        <v>5</v>
      </c>
      <c r="B66">
        <v>0</v>
      </c>
      <c r="C66">
        <v>0</v>
      </c>
      <c r="D66">
        <v>1.0715840999999999</v>
      </c>
    </row>
    <row r="67" spans="1:4" x14ac:dyDescent="0.35">
      <c r="A67" t="s">
        <v>5</v>
      </c>
      <c r="B67">
        <v>0</v>
      </c>
      <c r="C67">
        <v>0</v>
      </c>
      <c r="D67">
        <v>0.58923190000000003</v>
      </c>
    </row>
    <row r="68" spans="1:4" x14ac:dyDescent="0.35">
      <c r="A68" t="s">
        <v>5</v>
      </c>
      <c r="B68">
        <v>0</v>
      </c>
      <c r="C68">
        <v>0</v>
      </c>
      <c r="D68">
        <v>0.55086400000000002</v>
      </c>
    </row>
    <row r="69" spans="1:4" x14ac:dyDescent="0.35">
      <c r="A69" t="s">
        <v>5</v>
      </c>
      <c r="B69">
        <v>0</v>
      </c>
      <c r="C69">
        <v>0</v>
      </c>
      <c r="D69">
        <v>0.6009388</v>
      </c>
    </row>
    <row r="70" spans="1:4" x14ac:dyDescent="0.35">
      <c r="A70" t="s">
        <v>5</v>
      </c>
      <c r="B70">
        <v>0</v>
      </c>
      <c r="C70">
        <v>0</v>
      </c>
      <c r="D70">
        <v>0.50200440000000002</v>
      </c>
    </row>
    <row r="71" spans="1:4" x14ac:dyDescent="0.35">
      <c r="A71" t="s">
        <v>5</v>
      </c>
      <c r="B71">
        <v>0</v>
      </c>
      <c r="C71">
        <v>0</v>
      </c>
      <c r="D71">
        <v>0.42742330000000001</v>
      </c>
    </row>
    <row r="72" spans="1:4" x14ac:dyDescent="0.35">
      <c r="A72" t="s">
        <v>5</v>
      </c>
      <c r="B72">
        <v>0</v>
      </c>
      <c r="C72">
        <v>0</v>
      </c>
      <c r="D72">
        <v>0.59370909999999999</v>
      </c>
    </row>
    <row r="73" spans="1:4" x14ac:dyDescent="0.35">
      <c r="A73" t="s">
        <v>5</v>
      </c>
      <c r="B73">
        <v>0</v>
      </c>
      <c r="C73">
        <v>0</v>
      </c>
      <c r="D73">
        <v>0.63558879999999995</v>
      </c>
    </row>
    <row r="74" spans="1:4" x14ac:dyDescent="0.35">
      <c r="A74" t="s">
        <v>5</v>
      </c>
      <c r="B74">
        <v>0</v>
      </c>
      <c r="C74">
        <v>0</v>
      </c>
      <c r="D74">
        <v>0.59047179999999999</v>
      </c>
    </row>
    <row r="75" spans="1:4" x14ac:dyDescent="0.35">
      <c r="A75" t="s">
        <v>5</v>
      </c>
      <c r="B75">
        <v>0</v>
      </c>
      <c r="C75">
        <v>0</v>
      </c>
      <c r="D75">
        <v>0.65085859999999995</v>
      </c>
    </row>
    <row r="76" spans="1:4" x14ac:dyDescent="0.35">
      <c r="A76" t="s">
        <v>5</v>
      </c>
      <c r="B76">
        <v>0</v>
      </c>
      <c r="C76">
        <v>0</v>
      </c>
      <c r="D76">
        <v>0.67132400000000003</v>
      </c>
    </row>
    <row r="77" spans="1:4" x14ac:dyDescent="0.35">
      <c r="A77" t="s">
        <v>5</v>
      </c>
      <c r="B77">
        <v>0</v>
      </c>
      <c r="C77">
        <v>0</v>
      </c>
      <c r="D77">
        <v>0.5501163</v>
      </c>
    </row>
    <row r="78" spans="1:4" x14ac:dyDescent="0.35">
      <c r="A78" t="s">
        <v>5</v>
      </c>
      <c r="B78">
        <v>0</v>
      </c>
      <c r="C78">
        <v>0</v>
      </c>
      <c r="D78">
        <v>0.75244560000000005</v>
      </c>
    </row>
    <row r="79" spans="1:4" x14ac:dyDescent="0.35">
      <c r="A79" t="s">
        <v>5</v>
      </c>
      <c r="B79">
        <v>0</v>
      </c>
      <c r="C79">
        <v>1</v>
      </c>
      <c r="D79">
        <v>0.49385800000000002</v>
      </c>
    </row>
    <row r="80" spans="1:4" x14ac:dyDescent="0.35">
      <c r="A80" t="s">
        <v>5</v>
      </c>
      <c r="B80">
        <v>0</v>
      </c>
      <c r="C80">
        <v>1</v>
      </c>
      <c r="D80">
        <v>0.68445</v>
      </c>
    </row>
    <row r="81" spans="1:4" x14ac:dyDescent="0.35">
      <c r="A81" t="s">
        <v>5</v>
      </c>
      <c r="B81">
        <v>0</v>
      </c>
      <c r="C81">
        <v>1</v>
      </c>
      <c r="D81">
        <v>1.279264</v>
      </c>
    </row>
    <row r="82" spans="1:4" x14ac:dyDescent="0.35">
      <c r="A82" t="s">
        <v>5</v>
      </c>
      <c r="B82">
        <v>0</v>
      </c>
      <c r="C82">
        <v>1</v>
      </c>
      <c r="D82">
        <v>0.62521329999999997</v>
      </c>
    </row>
    <row r="83" spans="1:4" x14ac:dyDescent="0.35">
      <c r="A83" t="s">
        <v>5</v>
      </c>
      <c r="B83">
        <v>0</v>
      </c>
      <c r="C83">
        <v>1</v>
      </c>
      <c r="D83">
        <v>0.5185978</v>
      </c>
    </row>
    <row r="84" spans="1:4" x14ac:dyDescent="0.35">
      <c r="A84" t="s">
        <v>5</v>
      </c>
      <c r="B84">
        <v>0</v>
      </c>
      <c r="C84">
        <v>1</v>
      </c>
      <c r="D84">
        <v>0.63953070000000001</v>
      </c>
    </row>
    <row r="85" spans="1:4" x14ac:dyDescent="0.35">
      <c r="A85" t="s">
        <v>5</v>
      </c>
      <c r="B85">
        <v>0</v>
      </c>
      <c r="C85">
        <v>1</v>
      </c>
      <c r="D85">
        <v>0.4945542</v>
      </c>
    </row>
    <row r="86" spans="1:4" x14ac:dyDescent="0.35">
      <c r="A86" t="s">
        <v>5</v>
      </c>
      <c r="B86">
        <v>0</v>
      </c>
      <c r="C86">
        <v>1</v>
      </c>
      <c r="D86">
        <v>0.45988410000000002</v>
      </c>
    </row>
    <row r="87" spans="1:4" x14ac:dyDescent="0.35">
      <c r="A87" t="s">
        <v>5</v>
      </c>
      <c r="B87">
        <v>0</v>
      </c>
      <c r="C87">
        <v>1</v>
      </c>
      <c r="D87">
        <v>0.58224350000000002</v>
      </c>
    </row>
    <row r="88" spans="1:4" x14ac:dyDescent="0.35">
      <c r="A88" t="s">
        <v>5</v>
      </c>
      <c r="B88">
        <v>0</v>
      </c>
      <c r="C88">
        <v>1</v>
      </c>
      <c r="D88">
        <v>0.53399350000000001</v>
      </c>
    </row>
    <row r="89" spans="1:4" x14ac:dyDescent="0.35">
      <c r="A89" t="s">
        <v>5</v>
      </c>
      <c r="B89">
        <v>0</v>
      </c>
      <c r="C89">
        <v>1</v>
      </c>
      <c r="D89">
        <v>0.67399819999999999</v>
      </c>
    </row>
    <row r="90" spans="1:4" x14ac:dyDescent="0.35">
      <c r="A90" t="s">
        <v>5</v>
      </c>
      <c r="B90">
        <v>0</v>
      </c>
      <c r="C90">
        <v>1</v>
      </c>
      <c r="D90">
        <v>1.0088249</v>
      </c>
    </row>
    <row r="91" spans="1:4" x14ac:dyDescent="0.35">
      <c r="A91" t="s">
        <v>5</v>
      </c>
      <c r="B91">
        <v>0</v>
      </c>
      <c r="C91">
        <v>1</v>
      </c>
      <c r="D91">
        <v>0.6074908</v>
      </c>
    </row>
    <row r="92" spans="1:4" x14ac:dyDescent="0.35">
      <c r="A92" t="s">
        <v>5</v>
      </c>
      <c r="B92">
        <v>0</v>
      </c>
      <c r="C92">
        <v>1</v>
      </c>
      <c r="D92">
        <v>0.63890550000000002</v>
      </c>
    </row>
    <row r="93" spans="1:4" x14ac:dyDescent="0.35">
      <c r="A93" t="s">
        <v>5</v>
      </c>
      <c r="B93">
        <v>0</v>
      </c>
      <c r="C93">
        <v>1</v>
      </c>
      <c r="D93">
        <v>0.9298495</v>
      </c>
    </row>
    <row r="94" spans="1:4" x14ac:dyDescent="0.35">
      <c r="A94" t="s">
        <v>5</v>
      </c>
      <c r="B94">
        <v>0</v>
      </c>
      <c r="C94">
        <v>1</v>
      </c>
      <c r="D94">
        <v>0.607402</v>
      </c>
    </row>
    <row r="95" spans="1:4" x14ac:dyDescent="0.35">
      <c r="A95" t="s">
        <v>5</v>
      </c>
      <c r="B95">
        <v>0</v>
      </c>
      <c r="C95">
        <v>1</v>
      </c>
      <c r="D95">
        <v>0.38054120000000002</v>
      </c>
    </row>
    <row r="96" spans="1:4" x14ac:dyDescent="0.35">
      <c r="A96" t="s">
        <v>5</v>
      </c>
      <c r="B96">
        <v>0</v>
      </c>
      <c r="C96">
        <v>1</v>
      </c>
      <c r="D96">
        <v>0.55230520000000005</v>
      </c>
    </row>
    <row r="97" spans="1:4" x14ac:dyDescent="0.35">
      <c r="A97" t="s">
        <v>5</v>
      </c>
      <c r="B97">
        <v>0</v>
      </c>
      <c r="C97">
        <v>1</v>
      </c>
      <c r="D97">
        <v>0.6669273</v>
      </c>
    </row>
    <row r="98" spans="1:4" x14ac:dyDescent="0.35">
      <c r="A98" t="s">
        <v>5</v>
      </c>
      <c r="B98">
        <v>0</v>
      </c>
      <c r="C98">
        <v>1</v>
      </c>
      <c r="D98">
        <v>1.0908731</v>
      </c>
    </row>
    <row r="99" spans="1:4" x14ac:dyDescent="0.35">
      <c r="A99" t="s">
        <v>5</v>
      </c>
      <c r="B99">
        <v>0</v>
      </c>
      <c r="C99">
        <v>1</v>
      </c>
      <c r="D99">
        <v>0.86093560000000002</v>
      </c>
    </row>
    <row r="100" spans="1:4" x14ac:dyDescent="0.35">
      <c r="A100" t="s">
        <v>5</v>
      </c>
      <c r="B100">
        <v>0</v>
      </c>
      <c r="C100">
        <v>1</v>
      </c>
      <c r="D100">
        <v>1.5821514000000001</v>
      </c>
    </row>
    <row r="101" spans="1:4" x14ac:dyDescent="0.35">
      <c r="A101" t="s">
        <v>5</v>
      </c>
      <c r="B101">
        <v>0</v>
      </c>
      <c r="C101">
        <v>1</v>
      </c>
      <c r="D101">
        <v>3.3903161000000002</v>
      </c>
    </row>
  </sheetData>
  <autoFilter ref="A1:D1" xr:uid="{00000000-0001-0000-0000-000000000000}">
    <sortState xmlns:xlrd2="http://schemas.microsoft.com/office/spreadsheetml/2017/richdata2" ref="A2:D101">
      <sortCondition descending="1" ref="B1"/>
    </sortState>
  </autoFilter>
  <mergeCells count="2">
    <mergeCell ref="G1:I1"/>
    <mergeCell ref="K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EE1A-CCC2-4E1D-81B2-496A68B0D6AC}">
  <dimension ref="A1:M101"/>
  <sheetViews>
    <sheetView topLeftCell="D1" zoomScale="109" zoomScaleNormal="70" workbookViewId="0">
      <selection activeCell="K1" sqref="K1:M5"/>
    </sheetView>
  </sheetViews>
  <sheetFormatPr defaultRowHeight="14.5" x14ac:dyDescent="0.35"/>
  <cols>
    <col min="1" max="1" width="6.54296875" bestFit="1" customWidth="1"/>
    <col min="2" max="2" width="6.6328125" bestFit="1" customWidth="1"/>
    <col min="3" max="3" width="9.26953125" bestFit="1" customWidth="1"/>
    <col min="4" max="4" width="20.453125" bestFit="1" customWidth="1"/>
    <col min="7" max="7" width="7.54296875" bestFit="1" customWidth="1"/>
    <col min="8" max="8" width="9.54296875" bestFit="1" customWidth="1"/>
    <col min="9" max="9" width="10.90625" bestFit="1" customWidth="1"/>
    <col min="11" max="11" width="7.54296875" bestFit="1" customWidth="1"/>
    <col min="12" max="13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G1" s="8" t="s">
        <v>16</v>
      </c>
      <c r="H1" s="8"/>
      <c r="I1" s="8"/>
      <c r="K1" s="8" t="s">
        <v>17</v>
      </c>
      <c r="L1" s="8"/>
      <c r="M1" s="8"/>
    </row>
    <row r="2" spans="1:13" x14ac:dyDescent="0.35">
      <c r="A2" t="s">
        <v>6</v>
      </c>
      <c r="B2">
        <v>1</v>
      </c>
      <c r="C2">
        <v>0</v>
      </c>
      <c r="D2">
        <v>0.43248229997698201</v>
      </c>
      <c r="G2" s="1"/>
      <c r="H2" s="1" t="s">
        <v>13</v>
      </c>
      <c r="I2" s="1" t="s">
        <v>14</v>
      </c>
      <c r="K2" s="1"/>
      <c r="L2" s="1" t="s">
        <v>13</v>
      </c>
      <c r="M2" s="1" t="s">
        <v>14</v>
      </c>
    </row>
    <row r="3" spans="1:13" x14ac:dyDescent="0.35">
      <c r="A3" t="s">
        <v>6</v>
      </c>
      <c r="B3">
        <v>1</v>
      </c>
      <c r="C3">
        <v>0</v>
      </c>
      <c r="D3">
        <v>0.45658669999102097</v>
      </c>
      <c r="G3" s="1" t="s">
        <v>12</v>
      </c>
      <c r="H3" s="1">
        <f>6/25*100</f>
        <v>24</v>
      </c>
      <c r="I3" s="1">
        <f>3/25*100</f>
        <v>12</v>
      </c>
      <c r="K3" s="1" t="s">
        <v>12</v>
      </c>
      <c r="L3" s="1">
        <f>AVERAGE(D9:D14)</f>
        <v>0.35834463333594568</v>
      </c>
      <c r="M3" s="1">
        <f>AVERAGE(D2:D4)</f>
        <v>0.41379066667286635</v>
      </c>
    </row>
    <row r="4" spans="1:13" x14ac:dyDescent="0.35">
      <c r="A4" t="s">
        <v>6</v>
      </c>
      <c r="B4">
        <v>1</v>
      </c>
      <c r="C4">
        <v>0</v>
      </c>
      <c r="D4">
        <v>0.352303000050596</v>
      </c>
      <c r="G4" s="1" t="s">
        <v>15</v>
      </c>
      <c r="H4" s="1">
        <f>3/25*100</f>
        <v>12</v>
      </c>
      <c r="I4" s="1">
        <f>4/25*100</f>
        <v>16</v>
      </c>
      <c r="K4" s="1" t="s">
        <v>15</v>
      </c>
      <c r="L4" s="1">
        <f>AVERAGE(D15:D17)</f>
        <v>0.38827763332907672</v>
      </c>
      <c r="M4" s="1">
        <f>AVERAGE(D5:D8)</f>
        <v>0.48479179998685107</v>
      </c>
    </row>
    <row r="5" spans="1:13" x14ac:dyDescent="0.35">
      <c r="A5" t="s">
        <v>5</v>
      </c>
      <c r="B5">
        <v>1</v>
      </c>
      <c r="C5">
        <v>0</v>
      </c>
      <c r="D5">
        <v>0.42499339999630997</v>
      </c>
      <c r="G5" s="1" t="s">
        <v>20</v>
      </c>
      <c r="H5" s="1">
        <f>AVERAGE(H3:H4)</f>
        <v>18</v>
      </c>
      <c r="I5" s="1">
        <f>AVERAGE(I3:I4)</f>
        <v>14</v>
      </c>
      <c r="K5" s="1" t="s">
        <v>20</v>
      </c>
      <c r="L5" s="1">
        <f>AVERAGE(L3:L4)</f>
        <v>0.3733111333325112</v>
      </c>
      <c r="M5" s="1">
        <f>AVERAGE(M3:M4)</f>
        <v>0.44929123332985871</v>
      </c>
    </row>
    <row r="6" spans="1:13" x14ac:dyDescent="0.35">
      <c r="A6" t="s">
        <v>5</v>
      </c>
      <c r="B6">
        <v>1</v>
      </c>
      <c r="C6">
        <v>0</v>
      </c>
      <c r="D6">
        <v>0.46433439996326298</v>
      </c>
    </row>
    <row r="7" spans="1:13" x14ac:dyDescent="0.35">
      <c r="A7" t="s">
        <v>5</v>
      </c>
      <c r="B7">
        <v>1</v>
      </c>
      <c r="C7">
        <v>0</v>
      </c>
      <c r="D7">
        <v>0.58592219999991302</v>
      </c>
    </row>
    <row r="8" spans="1:13" x14ac:dyDescent="0.35">
      <c r="A8" t="s">
        <v>5</v>
      </c>
      <c r="B8">
        <v>1</v>
      </c>
      <c r="C8">
        <v>0</v>
      </c>
      <c r="D8">
        <v>0.46391719998791803</v>
      </c>
    </row>
    <row r="9" spans="1:13" x14ac:dyDescent="0.35">
      <c r="A9" t="s">
        <v>6</v>
      </c>
      <c r="B9">
        <v>1</v>
      </c>
      <c r="C9">
        <v>1</v>
      </c>
      <c r="D9">
        <v>0.31800269999075598</v>
      </c>
    </row>
    <row r="10" spans="1:13" x14ac:dyDescent="0.35">
      <c r="A10" t="s">
        <v>6</v>
      </c>
      <c r="B10">
        <v>1</v>
      </c>
      <c r="C10">
        <v>1</v>
      </c>
      <c r="D10">
        <v>0.33423179999226699</v>
      </c>
    </row>
    <row r="11" spans="1:13" x14ac:dyDescent="0.35">
      <c r="A11" t="s">
        <v>6</v>
      </c>
      <c r="B11">
        <v>1</v>
      </c>
      <c r="C11">
        <v>1</v>
      </c>
      <c r="D11">
        <v>0.37371590000111599</v>
      </c>
    </row>
    <row r="12" spans="1:13" x14ac:dyDescent="0.35">
      <c r="A12" t="s">
        <v>6</v>
      </c>
      <c r="B12">
        <v>1</v>
      </c>
      <c r="C12">
        <v>1</v>
      </c>
      <c r="D12">
        <v>0.34370670001953801</v>
      </c>
    </row>
    <row r="13" spans="1:13" x14ac:dyDescent="0.35">
      <c r="A13" t="s">
        <v>6</v>
      </c>
      <c r="B13">
        <v>1</v>
      </c>
      <c r="C13">
        <v>1</v>
      </c>
      <c r="D13">
        <v>0.41136989998631102</v>
      </c>
    </row>
    <row r="14" spans="1:13" x14ac:dyDescent="0.35">
      <c r="A14" t="s">
        <v>6</v>
      </c>
      <c r="B14">
        <v>1</v>
      </c>
      <c r="C14">
        <v>1</v>
      </c>
      <c r="D14">
        <v>0.36904080002568601</v>
      </c>
    </row>
    <row r="15" spans="1:13" x14ac:dyDescent="0.35">
      <c r="A15" t="s">
        <v>5</v>
      </c>
      <c r="B15">
        <v>1</v>
      </c>
      <c r="C15">
        <v>1</v>
      </c>
      <c r="D15">
        <v>0.33844219997990799</v>
      </c>
    </row>
    <row r="16" spans="1:13" x14ac:dyDescent="0.35">
      <c r="A16" t="s">
        <v>5</v>
      </c>
      <c r="B16">
        <v>1</v>
      </c>
      <c r="C16">
        <v>1</v>
      </c>
      <c r="D16">
        <v>0.485518899979069</v>
      </c>
    </row>
    <row r="17" spans="1:4" x14ac:dyDescent="0.35">
      <c r="A17" t="s">
        <v>5</v>
      </c>
      <c r="B17">
        <v>1</v>
      </c>
      <c r="C17">
        <v>1</v>
      </c>
      <c r="D17">
        <v>0.34087180002825301</v>
      </c>
    </row>
    <row r="18" spans="1:4" x14ac:dyDescent="0.35">
      <c r="A18" t="s">
        <v>6</v>
      </c>
      <c r="B18">
        <v>0</v>
      </c>
      <c r="C18">
        <v>0</v>
      </c>
      <c r="D18">
        <v>0.37188049999531297</v>
      </c>
    </row>
    <row r="19" spans="1:4" x14ac:dyDescent="0.35">
      <c r="A19" t="s">
        <v>6</v>
      </c>
      <c r="B19">
        <v>0</v>
      </c>
      <c r="C19">
        <v>0</v>
      </c>
      <c r="D19">
        <v>0.46998819999862401</v>
      </c>
    </row>
    <row r="20" spans="1:4" x14ac:dyDescent="0.35">
      <c r="A20" t="s">
        <v>6</v>
      </c>
      <c r="B20">
        <v>0</v>
      </c>
      <c r="C20">
        <v>0</v>
      </c>
      <c r="D20">
        <v>0.411203999945428</v>
      </c>
    </row>
    <row r="21" spans="1:4" x14ac:dyDescent="0.35">
      <c r="A21" t="s">
        <v>6</v>
      </c>
      <c r="B21">
        <v>0</v>
      </c>
      <c r="C21">
        <v>0</v>
      </c>
      <c r="D21">
        <v>0.49687640002230099</v>
      </c>
    </row>
    <row r="22" spans="1:4" x14ac:dyDescent="0.35">
      <c r="A22" t="s">
        <v>6</v>
      </c>
      <c r="B22">
        <v>0</v>
      </c>
      <c r="C22">
        <v>0</v>
      </c>
      <c r="D22">
        <v>0.43321779998950599</v>
      </c>
    </row>
    <row r="23" spans="1:4" x14ac:dyDescent="0.35">
      <c r="A23" t="s">
        <v>6</v>
      </c>
      <c r="B23">
        <v>0</v>
      </c>
      <c r="C23">
        <v>0</v>
      </c>
      <c r="D23">
        <v>0.43068150000180999</v>
      </c>
    </row>
    <row r="24" spans="1:4" x14ac:dyDescent="0.35">
      <c r="A24" t="s">
        <v>6</v>
      </c>
      <c r="B24">
        <v>0</v>
      </c>
      <c r="C24">
        <v>0</v>
      </c>
      <c r="D24">
        <v>0.39726639998843799</v>
      </c>
    </row>
    <row r="25" spans="1:4" x14ac:dyDescent="0.35">
      <c r="A25" t="s">
        <v>6</v>
      </c>
      <c r="B25">
        <v>0</v>
      </c>
      <c r="C25">
        <v>0</v>
      </c>
      <c r="D25">
        <v>0.50849889998789799</v>
      </c>
    </row>
    <row r="26" spans="1:4" x14ac:dyDescent="0.35">
      <c r="A26" t="s">
        <v>6</v>
      </c>
      <c r="B26">
        <v>0</v>
      </c>
      <c r="C26">
        <v>0</v>
      </c>
      <c r="D26">
        <v>0.43138120003277403</v>
      </c>
    </row>
    <row r="27" spans="1:4" x14ac:dyDescent="0.35">
      <c r="A27" t="s">
        <v>6</v>
      </c>
      <c r="B27">
        <v>0</v>
      </c>
      <c r="C27">
        <v>0</v>
      </c>
      <c r="D27">
        <v>0.37659960001474202</v>
      </c>
    </row>
    <row r="28" spans="1:4" x14ac:dyDescent="0.35">
      <c r="A28" t="s">
        <v>6</v>
      </c>
      <c r="B28">
        <v>0</v>
      </c>
      <c r="C28">
        <v>0</v>
      </c>
      <c r="D28">
        <v>0.56196879997150895</v>
      </c>
    </row>
    <row r="29" spans="1:4" x14ac:dyDescent="0.35">
      <c r="A29" t="s">
        <v>6</v>
      </c>
      <c r="B29">
        <v>0</v>
      </c>
      <c r="C29">
        <v>0</v>
      </c>
      <c r="D29">
        <v>0.558185499976389</v>
      </c>
    </row>
    <row r="30" spans="1:4" x14ac:dyDescent="0.35">
      <c r="A30" t="s">
        <v>6</v>
      </c>
      <c r="B30">
        <v>0</v>
      </c>
      <c r="C30">
        <v>0</v>
      </c>
      <c r="D30">
        <v>0.40168030001222998</v>
      </c>
    </row>
    <row r="31" spans="1:4" x14ac:dyDescent="0.35">
      <c r="A31" t="s">
        <v>6</v>
      </c>
      <c r="B31">
        <v>0</v>
      </c>
      <c r="C31">
        <v>0</v>
      </c>
      <c r="D31">
        <v>0.47136219998355899</v>
      </c>
    </row>
    <row r="32" spans="1:4" x14ac:dyDescent="0.35">
      <c r="A32" t="s">
        <v>6</v>
      </c>
      <c r="B32">
        <v>0</v>
      </c>
      <c r="C32">
        <v>0</v>
      </c>
      <c r="D32">
        <v>0.30589880002662501</v>
      </c>
    </row>
    <row r="33" spans="1:4" x14ac:dyDescent="0.35">
      <c r="A33" t="s">
        <v>6</v>
      </c>
      <c r="B33">
        <v>0</v>
      </c>
      <c r="C33">
        <v>0</v>
      </c>
      <c r="D33">
        <v>0.50383120001060799</v>
      </c>
    </row>
    <row r="34" spans="1:4" x14ac:dyDescent="0.35">
      <c r="A34" t="s">
        <v>6</v>
      </c>
      <c r="B34">
        <v>0</v>
      </c>
      <c r="C34">
        <v>0</v>
      </c>
      <c r="D34">
        <v>0.63418340001953699</v>
      </c>
    </row>
    <row r="35" spans="1:4" x14ac:dyDescent="0.35">
      <c r="A35" t="s">
        <v>6</v>
      </c>
      <c r="B35">
        <v>0</v>
      </c>
      <c r="C35">
        <v>0</v>
      </c>
      <c r="D35">
        <v>0.60431550000794199</v>
      </c>
    </row>
    <row r="36" spans="1:4" x14ac:dyDescent="0.35">
      <c r="A36" t="s">
        <v>6</v>
      </c>
      <c r="B36">
        <v>0</v>
      </c>
      <c r="C36">
        <v>0</v>
      </c>
      <c r="D36">
        <v>0.40889670001342798</v>
      </c>
    </row>
    <row r="37" spans="1:4" x14ac:dyDescent="0.35">
      <c r="A37" t="s">
        <v>6</v>
      </c>
      <c r="B37">
        <v>0</v>
      </c>
      <c r="C37">
        <v>0</v>
      </c>
      <c r="D37">
        <v>0.45309120003366798</v>
      </c>
    </row>
    <row r="38" spans="1:4" x14ac:dyDescent="0.35">
      <c r="A38" t="s">
        <v>6</v>
      </c>
      <c r="B38">
        <v>0</v>
      </c>
      <c r="C38">
        <v>0</v>
      </c>
      <c r="D38">
        <v>0.49341400002594998</v>
      </c>
    </row>
    <row r="39" spans="1:4" x14ac:dyDescent="0.35">
      <c r="A39" t="s">
        <v>6</v>
      </c>
      <c r="B39">
        <v>0</v>
      </c>
      <c r="C39">
        <v>0</v>
      </c>
      <c r="D39">
        <v>0.46164940000744498</v>
      </c>
    </row>
    <row r="40" spans="1:4" x14ac:dyDescent="0.35">
      <c r="A40" t="s">
        <v>5</v>
      </c>
      <c r="B40">
        <v>0</v>
      </c>
      <c r="C40">
        <v>0</v>
      </c>
      <c r="D40">
        <v>0.45106120000127697</v>
      </c>
    </row>
    <row r="41" spans="1:4" x14ac:dyDescent="0.35">
      <c r="A41" t="s">
        <v>5</v>
      </c>
      <c r="B41">
        <v>0</v>
      </c>
      <c r="C41">
        <v>0</v>
      </c>
      <c r="D41">
        <v>0.41168309998465702</v>
      </c>
    </row>
    <row r="42" spans="1:4" x14ac:dyDescent="0.35">
      <c r="A42" t="s">
        <v>5</v>
      </c>
      <c r="B42">
        <v>0</v>
      </c>
      <c r="C42">
        <v>0</v>
      </c>
      <c r="D42">
        <v>0.34624849999090601</v>
      </c>
    </row>
    <row r="43" spans="1:4" x14ac:dyDescent="0.35">
      <c r="A43" t="s">
        <v>5</v>
      </c>
      <c r="B43">
        <v>0</v>
      </c>
      <c r="C43">
        <v>0</v>
      </c>
      <c r="D43">
        <v>0.41209599998546698</v>
      </c>
    </row>
    <row r="44" spans="1:4" x14ac:dyDescent="0.35">
      <c r="A44" t="s">
        <v>5</v>
      </c>
      <c r="B44">
        <v>0</v>
      </c>
      <c r="C44">
        <v>0</v>
      </c>
      <c r="D44">
        <v>0.39558770001167398</v>
      </c>
    </row>
    <row r="45" spans="1:4" x14ac:dyDescent="0.35">
      <c r="A45" t="s">
        <v>5</v>
      </c>
      <c r="B45">
        <v>0</v>
      </c>
      <c r="C45">
        <v>0</v>
      </c>
      <c r="D45">
        <v>0.49307040002895502</v>
      </c>
    </row>
    <row r="46" spans="1:4" x14ac:dyDescent="0.35">
      <c r="A46" t="s">
        <v>5</v>
      </c>
      <c r="B46">
        <v>0</v>
      </c>
      <c r="C46">
        <v>0</v>
      </c>
      <c r="D46">
        <v>0.50276350002968595</v>
      </c>
    </row>
    <row r="47" spans="1:4" x14ac:dyDescent="0.35">
      <c r="A47" t="s">
        <v>5</v>
      </c>
      <c r="B47">
        <v>0</v>
      </c>
      <c r="C47">
        <v>0</v>
      </c>
      <c r="D47">
        <v>0.42313270003069098</v>
      </c>
    </row>
    <row r="48" spans="1:4" x14ac:dyDescent="0.35">
      <c r="A48" t="s">
        <v>5</v>
      </c>
      <c r="B48">
        <v>0</v>
      </c>
      <c r="C48">
        <v>0</v>
      </c>
      <c r="D48">
        <v>0.44412899995222599</v>
      </c>
    </row>
    <row r="49" spans="1:4" x14ac:dyDescent="0.35">
      <c r="A49" t="s">
        <v>5</v>
      </c>
      <c r="B49">
        <v>0</v>
      </c>
      <c r="C49">
        <v>0</v>
      </c>
      <c r="D49">
        <v>0.41347010002937101</v>
      </c>
    </row>
    <row r="50" spans="1:4" x14ac:dyDescent="0.35">
      <c r="A50" t="s">
        <v>5</v>
      </c>
      <c r="B50">
        <v>0</v>
      </c>
      <c r="C50">
        <v>0</v>
      </c>
      <c r="D50">
        <v>0.314317199983634</v>
      </c>
    </row>
    <row r="51" spans="1:4" x14ac:dyDescent="0.35">
      <c r="A51" t="s">
        <v>5</v>
      </c>
      <c r="B51">
        <v>0</v>
      </c>
      <c r="C51">
        <v>0</v>
      </c>
      <c r="D51">
        <v>0.52598460001172498</v>
      </c>
    </row>
    <row r="52" spans="1:4" x14ac:dyDescent="0.35">
      <c r="A52" t="s">
        <v>5</v>
      </c>
      <c r="B52">
        <v>0</v>
      </c>
      <c r="C52">
        <v>0</v>
      </c>
      <c r="D52">
        <v>0.39881059998879198</v>
      </c>
    </row>
    <row r="53" spans="1:4" x14ac:dyDescent="0.35">
      <c r="A53" t="s">
        <v>5</v>
      </c>
      <c r="B53">
        <v>0</v>
      </c>
      <c r="C53">
        <v>0</v>
      </c>
      <c r="D53">
        <v>0.77035839995369304</v>
      </c>
    </row>
    <row r="54" spans="1:4" x14ac:dyDescent="0.35">
      <c r="A54" t="s">
        <v>5</v>
      </c>
      <c r="B54">
        <v>0</v>
      </c>
      <c r="C54">
        <v>0</v>
      </c>
      <c r="D54">
        <v>0.376815000025089</v>
      </c>
    </row>
    <row r="55" spans="1:4" x14ac:dyDescent="0.35">
      <c r="A55" t="s">
        <v>5</v>
      </c>
      <c r="B55">
        <v>0</v>
      </c>
      <c r="C55">
        <v>0</v>
      </c>
      <c r="D55">
        <v>0.62726690003182695</v>
      </c>
    </row>
    <row r="56" spans="1:4" x14ac:dyDescent="0.35">
      <c r="A56" t="s">
        <v>5</v>
      </c>
      <c r="B56">
        <v>0</v>
      </c>
      <c r="C56">
        <v>0</v>
      </c>
      <c r="D56">
        <v>0.532075299997814</v>
      </c>
    </row>
    <row r="57" spans="1:4" x14ac:dyDescent="0.35">
      <c r="A57" t="s">
        <v>5</v>
      </c>
      <c r="B57">
        <v>0</v>
      </c>
      <c r="C57">
        <v>0</v>
      </c>
      <c r="D57">
        <v>0.480535899987444</v>
      </c>
    </row>
    <row r="58" spans="1:4" x14ac:dyDescent="0.35">
      <c r="A58" t="s">
        <v>5</v>
      </c>
      <c r="B58">
        <v>0</v>
      </c>
      <c r="C58">
        <v>0</v>
      </c>
      <c r="D58">
        <v>0.462912399962078</v>
      </c>
    </row>
    <row r="59" spans="1:4" x14ac:dyDescent="0.35">
      <c r="A59" t="s">
        <v>5</v>
      </c>
      <c r="B59">
        <v>0</v>
      </c>
      <c r="C59">
        <v>0</v>
      </c>
      <c r="D59">
        <v>0.59494949999498203</v>
      </c>
    </row>
    <row r="60" spans="1:4" x14ac:dyDescent="0.35">
      <c r="A60" t="s">
        <v>5</v>
      </c>
      <c r="B60">
        <v>0</v>
      </c>
      <c r="C60">
        <v>0</v>
      </c>
      <c r="D60">
        <v>0.488653699983842</v>
      </c>
    </row>
    <row r="61" spans="1:4" x14ac:dyDescent="0.35">
      <c r="A61" t="s">
        <v>6</v>
      </c>
      <c r="B61">
        <v>0</v>
      </c>
      <c r="C61">
        <v>1</v>
      </c>
      <c r="D61">
        <v>0.41438630002085097</v>
      </c>
    </row>
    <row r="62" spans="1:4" x14ac:dyDescent="0.35">
      <c r="A62" t="s">
        <v>6</v>
      </c>
      <c r="B62">
        <v>0</v>
      </c>
      <c r="C62">
        <v>1</v>
      </c>
      <c r="D62">
        <v>0.34307490003993701</v>
      </c>
    </row>
    <row r="63" spans="1:4" x14ac:dyDescent="0.35">
      <c r="A63" t="s">
        <v>6</v>
      </c>
      <c r="B63">
        <v>0</v>
      </c>
      <c r="C63">
        <v>1</v>
      </c>
      <c r="D63">
        <v>0.43811799999093598</v>
      </c>
    </row>
    <row r="64" spans="1:4" x14ac:dyDescent="0.35">
      <c r="A64" t="s">
        <v>6</v>
      </c>
      <c r="B64">
        <v>0</v>
      </c>
      <c r="C64">
        <v>1</v>
      </c>
      <c r="D64">
        <v>0.51988809998147101</v>
      </c>
    </row>
    <row r="65" spans="1:4" x14ac:dyDescent="0.35">
      <c r="A65" t="s">
        <v>6</v>
      </c>
      <c r="B65">
        <v>0</v>
      </c>
      <c r="C65">
        <v>1</v>
      </c>
      <c r="D65">
        <v>0.37817139999242499</v>
      </c>
    </row>
    <row r="66" spans="1:4" x14ac:dyDescent="0.35">
      <c r="A66" t="s">
        <v>6</v>
      </c>
      <c r="B66">
        <v>0</v>
      </c>
      <c r="C66">
        <v>1</v>
      </c>
      <c r="D66">
        <v>0.50321160000748899</v>
      </c>
    </row>
    <row r="67" spans="1:4" x14ac:dyDescent="0.35">
      <c r="A67" t="s">
        <v>6</v>
      </c>
      <c r="B67">
        <v>0</v>
      </c>
      <c r="C67">
        <v>1</v>
      </c>
      <c r="D67">
        <v>0.62441799999214698</v>
      </c>
    </row>
    <row r="68" spans="1:4" x14ac:dyDescent="0.35">
      <c r="A68" t="s">
        <v>6</v>
      </c>
      <c r="B68">
        <v>0</v>
      </c>
      <c r="C68">
        <v>1</v>
      </c>
      <c r="D68">
        <v>0.57891600002767496</v>
      </c>
    </row>
    <row r="69" spans="1:4" x14ac:dyDescent="0.35">
      <c r="A69" t="s">
        <v>6</v>
      </c>
      <c r="B69">
        <v>0</v>
      </c>
      <c r="C69">
        <v>1</v>
      </c>
      <c r="D69">
        <v>0.58092089998535801</v>
      </c>
    </row>
    <row r="70" spans="1:4" x14ac:dyDescent="0.35">
      <c r="A70" t="s">
        <v>6</v>
      </c>
      <c r="B70">
        <v>0</v>
      </c>
      <c r="C70">
        <v>1</v>
      </c>
      <c r="D70">
        <v>0.44689560000551798</v>
      </c>
    </row>
    <row r="71" spans="1:4" x14ac:dyDescent="0.35">
      <c r="A71" t="s">
        <v>6</v>
      </c>
      <c r="B71">
        <v>0</v>
      </c>
      <c r="C71">
        <v>1</v>
      </c>
      <c r="D71">
        <v>0.422728300036396</v>
      </c>
    </row>
    <row r="72" spans="1:4" x14ac:dyDescent="0.35">
      <c r="A72" t="s">
        <v>6</v>
      </c>
      <c r="B72">
        <v>0</v>
      </c>
      <c r="C72">
        <v>1</v>
      </c>
      <c r="D72">
        <v>0.491567999997641</v>
      </c>
    </row>
    <row r="73" spans="1:4" x14ac:dyDescent="0.35">
      <c r="A73" t="s">
        <v>6</v>
      </c>
      <c r="B73">
        <v>0</v>
      </c>
      <c r="C73">
        <v>1</v>
      </c>
      <c r="D73">
        <v>0.35567410005023697</v>
      </c>
    </row>
    <row r="74" spans="1:4" x14ac:dyDescent="0.35">
      <c r="A74" t="s">
        <v>6</v>
      </c>
      <c r="B74">
        <v>0</v>
      </c>
      <c r="C74">
        <v>1</v>
      </c>
      <c r="D74">
        <v>0.268248500011395</v>
      </c>
    </row>
    <row r="75" spans="1:4" x14ac:dyDescent="0.35">
      <c r="A75" t="s">
        <v>6</v>
      </c>
      <c r="B75">
        <v>0</v>
      </c>
      <c r="C75">
        <v>1</v>
      </c>
      <c r="D75">
        <v>0.42236780002713198</v>
      </c>
    </row>
    <row r="76" spans="1:4" x14ac:dyDescent="0.35">
      <c r="A76" t="s">
        <v>6</v>
      </c>
      <c r="B76">
        <v>0</v>
      </c>
      <c r="C76">
        <v>1</v>
      </c>
      <c r="D76">
        <v>0.389724700013175</v>
      </c>
    </row>
    <row r="77" spans="1:4" x14ac:dyDescent="0.35">
      <c r="A77" t="s">
        <v>6</v>
      </c>
      <c r="B77">
        <v>0</v>
      </c>
      <c r="C77">
        <v>1</v>
      </c>
      <c r="D77">
        <v>0.42569849995197701</v>
      </c>
    </row>
    <row r="78" spans="1:4" x14ac:dyDescent="0.35">
      <c r="A78" t="s">
        <v>6</v>
      </c>
      <c r="B78">
        <v>0</v>
      </c>
      <c r="C78">
        <v>1</v>
      </c>
      <c r="D78">
        <v>0.44742189999669701</v>
      </c>
    </row>
    <row r="79" spans="1:4" x14ac:dyDescent="0.35">
      <c r="A79" t="s">
        <v>6</v>
      </c>
      <c r="B79">
        <v>0</v>
      </c>
      <c r="C79">
        <v>1</v>
      </c>
      <c r="D79">
        <v>0.48613899998599602</v>
      </c>
    </row>
    <row r="80" spans="1:4" x14ac:dyDescent="0.35">
      <c r="A80" t="s">
        <v>5</v>
      </c>
      <c r="B80">
        <v>0</v>
      </c>
      <c r="C80">
        <v>1</v>
      </c>
      <c r="D80">
        <v>0.432830899953842</v>
      </c>
    </row>
    <row r="81" spans="1:4" x14ac:dyDescent="0.35">
      <c r="A81" t="s">
        <v>5</v>
      </c>
      <c r="B81">
        <v>0</v>
      </c>
      <c r="C81">
        <v>1</v>
      </c>
      <c r="D81">
        <v>0.51622900000074801</v>
      </c>
    </row>
    <row r="82" spans="1:4" x14ac:dyDescent="0.35">
      <c r="A82" t="s">
        <v>5</v>
      </c>
      <c r="B82">
        <v>0</v>
      </c>
      <c r="C82">
        <v>1</v>
      </c>
      <c r="D82">
        <v>0.58034789998782799</v>
      </c>
    </row>
    <row r="83" spans="1:4" x14ac:dyDescent="0.35">
      <c r="A83" t="s">
        <v>5</v>
      </c>
      <c r="B83">
        <v>0</v>
      </c>
      <c r="C83">
        <v>1</v>
      </c>
      <c r="D83">
        <v>0.434892099990975</v>
      </c>
    </row>
    <row r="84" spans="1:4" x14ac:dyDescent="0.35">
      <c r="A84" t="s">
        <v>5</v>
      </c>
      <c r="B84">
        <v>0</v>
      </c>
      <c r="C84">
        <v>1</v>
      </c>
      <c r="D84">
        <v>0.48402549995807898</v>
      </c>
    </row>
    <row r="85" spans="1:4" x14ac:dyDescent="0.35">
      <c r="A85" t="s">
        <v>5</v>
      </c>
      <c r="B85">
        <v>0</v>
      </c>
      <c r="C85">
        <v>1</v>
      </c>
      <c r="D85">
        <v>0.53999760001897801</v>
      </c>
    </row>
    <row r="86" spans="1:4" x14ac:dyDescent="0.35">
      <c r="A86" t="s">
        <v>5</v>
      </c>
      <c r="B86">
        <v>0</v>
      </c>
      <c r="C86">
        <v>1</v>
      </c>
      <c r="D86">
        <v>0.50020439998479505</v>
      </c>
    </row>
    <row r="87" spans="1:4" x14ac:dyDescent="0.35">
      <c r="A87" t="s">
        <v>5</v>
      </c>
      <c r="B87">
        <v>0</v>
      </c>
      <c r="C87">
        <v>1</v>
      </c>
      <c r="D87">
        <v>0.37600440002279301</v>
      </c>
    </row>
    <row r="88" spans="1:4" x14ac:dyDescent="0.35">
      <c r="A88" t="s">
        <v>5</v>
      </c>
      <c r="B88">
        <v>0</v>
      </c>
      <c r="C88">
        <v>1</v>
      </c>
      <c r="D88">
        <v>0.388048399996478</v>
      </c>
    </row>
    <row r="89" spans="1:4" x14ac:dyDescent="0.35">
      <c r="A89" t="s">
        <v>5</v>
      </c>
      <c r="B89">
        <v>0</v>
      </c>
      <c r="C89">
        <v>1</v>
      </c>
      <c r="D89">
        <v>0.54907090001506698</v>
      </c>
    </row>
    <row r="90" spans="1:4" x14ac:dyDescent="0.35">
      <c r="A90" t="s">
        <v>5</v>
      </c>
      <c r="B90">
        <v>0</v>
      </c>
      <c r="C90">
        <v>1</v>
      </c>
      <c r="D90">
        <v>0.42251180001767302</v>
      </c>
    </row>
    <row r="91" spans="1:4" x14ac:dyDescent="0.35">
      <c r="A91" t="s">
        <v>5</v>
      </c>
      <c r="B91">
        <v>0</v>
      </c>
      <c r="C91">
        <v>1</v>
      </c>
      <c r="D91">
        <v>0.54592910001520001</v>
      </c>
    </row>
    <row r="92" spans="1:4" x14ac:dyDescent="0.35">
      <c r="A92" t="s">
        <v>5</v>
      </c>
      <c r="B92">
        <v>0</v>
      </c>
      <c r="C92">
        <v>1</v>
      </c>
      <c r="D92">
        <v>0.45567759999539698</v>
      </c>
    </row>
    <row r="93" spans="1:4" x14ac:dyDescent="0.35">
      <c r="A93" t="s">
        <v>5</v>
      </c>
      <c r="B93">
        <v>0</v>
      </c>
      <c r="C93">
        <v>1</v>
      </c>
      <c r="D93">
        <v>0.449894199962727</v>
      </c>
    </row>
    <row r="94" spans="1:4" x14ac:dyDescent="0.35">
      <c r="A94" t="s">
        <v>5</v>
      </c>
      <c r="B94">
        <v>0</v>
      </c>
      <c r="C94">
        <v>1</v>
      </c>
      <c r="D94">
        <v>0.38598679995629898</v>
      </c>
    </row>
    <row r="95" spans="1:4" x14ac:dyDescent="0.35">
      <c r="A95" t="s">
        <v>5</v>
      </c>
      <c r="B95">
        <v>0</v>
      </c>
      <c r="C95">
        <v>1</v>
      </c>
      <c r="D95">
        <v>0.42355159996077402</v>
      </c>
    </row>
    <row r="96" spans="1:4" x14ac:dyDescent="0.35">
      <c r="A96" t="s">
        <v>5</v>
      </c>
      <c r="B96">
        <v>0</v>
      </c>
      <c r="C96">
        <v>1</v>
      </c>
      <c r="D96">
        <v>0.43754950002767101</v>
      </c>
    </row>
    <row r="97" spans="1:4" x14ac:dyDescent="0.35">
      <c r="A97" t="s">
        <v>5</v>
      </c>
      <c r="B97">
        <v>0</v>
      </c>
      <c r="C97">
        <v>1</v>
      </c>
      <c r="D97">
        <v>0.44492690003244201</v>
      </c>
    </row>
    <row r="98" spans="1:4" x14ac:dyDescent="0.35">
      <c r="A98" t="s">
        <v>5</v>
      </c>
      <c r="B98">
        <v>0</v>
      </c>
      <c r="C98">
        <v>1</v>
      </c>
      <c r="D98">
        <v>0.40210120001574901</v>
      </c>
    </row>
    <row r="99" spans="1:4" x14ac:dyDescent="0.35">
      <c r="A99" t="s">
        <v>5</v>
      </c>
      <c r="B99">
        <v>0</v>
      </c>
      <c r="C99">
        <v>1</v>
      </c>
      <c r="D99">
        <v>0.50749739998718701</v>
      </c>
    </row>
    <row r="100" spans="1:4" x14ac:dyDescent="0.35">
      <c r="A100" t="s">
        <v>5</v>
      </c>
      <c r="B100">
        <v>0</v>
      </c>
      <c r="C100">
        <v>1</v>
      </c>
      <c r="D100">
        <v>0.47184279997600198</v>
      </c>
    </row>
    <row r="101" spans="1:4" x14ac:dyDescent="0.35">
      <c r="A101" t="s">
        <v>5</v>
      </c>
      <c r="B101">
        <v>0</v>
      </c>
      <c r="C101">
        <v>1</v>
      </c>
      <c r="D101">
        <v>0.578250300022773</v>
      </c>
    </row>
  </sheetData>
  <autoFilter ref="A1:D1" xr:uid="{A669EE1A-CCC2-4E1D-81B2-496A68B0D6AC}">
    <sortState xmlns:xlrd2="http://schemas.microsoft.com/office/spreadsheetml/2017/richdata2" ref="A2:D101">
      <sortCondition descending="1" ref="B1"/>
    </sortState>
  </autoFilter>
  <mergeCells count="2">
    <mergeCell ref="G1:I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3ABE-0A5E-4B02-8747-EA525EA03900}">
  <dimension ref="A1:N101"/>
  <sheetViews>
    <sheetView workbookViewId="0">
      <selection activeCell="L1" sqref="L1:N5"/>
    </sheetView>
  </sheetViews>
  <sheetFormatPr defaultRowHeight="14.5" x14ac:dyDescent="0.35"/>
  <cols>
    <col min="1" max="1" width="6.54296875" bestFit="1" customWidth="1"/>
    <col min="2" max="2" width="6.6328125" bestFit="1" customWidth="1"/>
    <col min="3" max="3" width="9.26953125" bestFit="1" customWidth="1"/>
    <col min="4" max="4" width="20.453125" bestFit="1" customWidth="1"/>
    <col min="7" max="7" width="7.54296875" bestFit="1" customWidth="1"/>
    <col min="8" max="8" width="9.54296875" bestFit="1" customWidth="1"/>
    <col min="9" max="9" width="10.90625" bestFit="1" customWidth="1"/>
    <col min="12" max="12" width="7.54296875" bestFit="1" customWidth="1"/>
    <col min="13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G1" s="8" t="s">
        <v>16</v>
      </c>
      <c r="H1" s="8"/>
      <c r="I1" s="8"/>
      <c r="L1" s="8" t="s">
        <v>17</v>
      </c>
      <c r="M1" s="8"/>
      <c r="N1" s="8"/>
    </row>
    <row r="2" spans="1:14" x14ac:dyDescent="0.35">
      <c r="A2" t="s">
        <v>6</v>
      </c>
      <c r="B2">
        <v>1</v>
      </c>
      <c r="C2">
        <v>0</v>
      </c>
      <c r="D2">
        <v>0.47921780000000003</v>
      </c>
      <c r="G2" s="1"/>
      <c r="H2" s="1" t="s">
        <v>13</v>
      </c>
      <c r="I2" s="1" t="s">
        <v>14</v>
      </c>
      <c r="L2" s="1"/>
      <c r="M2" s="1" t="s">
        <v>13</v>
      </c>
      <c r="N2" s="1" t="s">
        <v>14</v>
      </c>
    </row>
    <row r="3" spans="1:14" x14ac:dyDescent="0.35">
      <c r="A3" t="s">
        <v>6</v>
      </c>
      <c r="B3">
        <v>1</v>
      </c>
      <c r="C3">
        <v>0</v>
      </c>
      <c r="D3">
        <v>0.34109289999999998</v>
      </c>
      <c r="G3" s="1" t="s">
        <v>12</v>
      </c>
      <c r="H3" s="1">
        <f>3/25*100</f>
        <v>12</v>
      </c>
      <c r="I3" s="1">
        <f>3/25*100</f>
        <v>12</v>
      </c>
      <c r="L3" s="1" t="s">
        <v>12</v>
      </c>
      <c r="M3" s="1">
        <f>AVERAGE(D8:D10)</f>
        <v>0.40267239999999999</v>
      </c>
      <c r="N3" s="1">
        <f>AVERAGE(D2:D4)</f>
        <v>0.40653856666666671</v>
      </c>
    </row>
    <row r="4" spans="1:14" x14ac:dyDescent="0.35">
      <c r="A4" t="s">
        <v>6</v>
      </c>
      <c r="B4">
        <v>1</v>
      </c>
      <c r="C4">
        <v>0</v>
      </c>
      <c r="D4">
        <v>0.39930500000000002</v>
      </c>
      <c r="G4" s="1" t="s">
        <v>15</v>
      </c>
      <c r="H4" s="1">
        <f>3/25*100</f>
        <v>12</v>
      </c>
      <c r="I4" s="1">
        <f>3/25*100</f>
        <v>12</v>
      </c>
      <c r="L4" s="1" t="s">
        <v>15</v>
      </c>
      <c r="M4" s="1">
        <f>AVERAGE(D11:D13)</f>
        <v>0.4373198333333333</v>
      </c>
      <c r="N4" s="1">
        <f>AVERAGE(D5:D7)</f>
        <v>0.46849076666666667</v>
      </c>
    </row>
    <row r="5" spans="1:14" x14ac:dyDescent="0.35">
      <c r="A5" t="s">
        <v>5</v>
      </c>
      <c r="B5">
        <v>1</v>
      </c>
      <c r="C5">
        <v>0</v>
      </c>
      <c r="D5">
        <v>0.36984060000000002</v>
      </c>
      <c r="G5" s="1" t="s">
        <v>20</v>
      </c>
      <c r="H5" s="1">
        <v>12</v>
      </c>
      <c r="I5" s="1">
        <v>12</v>
      </c>
      <c r="L5" s="1" t="s">
        <v>20</v>
      </c>
      <c r="M5" s="1">
        <f>AVERAGE(M3:M4)</f>
        <v>0.41999611666666664</v>
      </c>
      <c r="N5" s="1">
        <f>AVERAGE(N3:N4)</f>
        <v>0.43751466666666672</v>
      </c>
    </row>
    <row r="6" spans="1:14" x14ac:dyDescent="0.35">
      <c r="A6" t="s">
        <v>5</v>
      </c>
      <c r="B6">
        <v>1</v>
      </c>
      <c r="C6">
        <v>0</v>
      </c>
      <c r="D6">
        <v>0.65898199999999996</v>
      </c>
    </row>
    <row r="7" spans="1:14" x14ac:dyDescent="0.35">
      <c r="A7" t="s">
        <v>5</v>
      </c>
      <c r="B7">
        <v>1</v>
      </c>
      <c r="C7">
        <v>0</v>
      </c>
      <c r="D7">
        <v>0.37664969999999998</v>
      </c>
    </row>
    <row r="8" spans="1:14" x14ac:dyDescent="0.35">
      <c r="A8" t="s">
        <v>6</v>
      </c>
      <c r="B8">
        <v>1</v>
      </c>
      <c r="C8">
        <v>1</v>
      </c>
      <c r="D8">
        <v>0.37527139999999998</v>
      </c>
    </row>
    <row r="9" spans="1:14" x14ac:dyDescent="0.35">
      <c r="A9" t="s">
        <v>6</v>
      </c>
      <c r="B9">
        <v>1</v>
      </c>
      <c r="C9">
        <v>1</v>
      </c>
      <c r="D9">
        <v>0.43426320000000002</v>
      </c>
    </row>
    <row r="10" spans="1:14" x14ac:dyDescent="0.35">
      <c r="A10" t="s">
        <v>6</v>
      </c>
      <c r="B10">
        <v>1</v>
      </c>
      <c r="C10">
        <v>1</v>
      </c>
      <c r="D10">
        <v>0.39848260000000002</v>
      </c>
    </row>
    <row r="11" spans="1:14" x14ac:dyDescent="0.35">
      <c r="A11" t="s">
        <v>5</v>
      </c>
      <c r="B11">
        <v>1</v>
      </c>
      <c r="C11">
        <v>1</v>
      </c>
      <c r="D11">
        <v>0.44027129999999998</v>
      </c>
    </row>
    <row r="12" spans="1:14" x14ac:dyDescent="0.35">
      <c r="A12" t="s">
        <v>5</v>
      </c>
      <c r="B12">
        <v>1</v>
      </c>
      <c r="C12">
        <v>1</v>
      </c>
      <c r="D12">
        <v>0.53369849999999996</v>
      </c>
    </row>
    <row r="13" spans="1:14" x14ac:dyDescent="0.35">
      <c r="A13" t="s">
        <v>5</v>
      </c>
      <c r="B13">
        <v>1</v>
      </c>
      <c r="C13">
        <v>1</v>
      </c>
      <c r="D13">
        <v>0.3379897</v>
      </c>
    </row>
    <row r="14" spans="1:14" x14ac:dyDescent="0.35">
      <c r="A14" t="s">
        <v>6</v>
      </c>
      <c r="B14">
        <v>0</v>
      </c>
      <c r="C14">
        <v>0</v>
      </c>
      <c r="D14">
        <v>0.4692482</v>
      </c>
    </row>
    <row r="15" spans="1:14" x14ac:dyDescent="0.35">
      <c r="A15" t="s">
        <v>6</v>
      </c>
      <c r="B15">
        <v>0</v>
      </c>
      <c r="C15">
        <v>0</v>
      </c>
      <c r="D15">
        <v>0.4729583</v>
      </c>
    </row>
    <row r="16" spans="1:14" x14ac:dyDescent="0.35">
      <c r="A16" t="s">
        <v>6</v>
      </c>
      <c r="B16">
        <v>0</v>
      </c>
      <c r="C16">
        <v>0</v>
      </c>
      <c r="D16">
        <v>0.4205334</v>
      </c>
    </row>
    <row r="17" spans="1:4" x14ac:dyDescent="0.35">
      <c r="A17" t="s">
        <v>6</v>
      </c>
      <c r="B17">
        <v>0</v>
      </c>
      <c r="C17">
        <v>0</v>
      </c>
      <c r="D17">
        <v>0.51348550000000004</v>
      </c>
    </row>
    <row r="18" spans="1:4" x14ac:dyDescent="0.35">
      <c r="A18" t="s">
        <v>6</v>
      </c>
      <c r="B18">
        <v>0</v>
      </c>
      <c r="C18">
        <v>0</v>
      </c>
      <c r="D18">
        <v>0.3839071</v>
      </c>
    </row>
    <row r="19" spans="1:4" x14ac:dyDescent="0.35">
      <c r="A19" t="s">
        <v>6</v>
      </c>
      <c r="B19">
        <v>0</v>
      </c>
      <c r="C19">
        <v>0</v>
      </c>
      <c r="D19">
        <v>0.33872980000000003</v>
      </c>
    </row>
    <row r="20" spans="1:4" x14ac:dyDescent="0.35">
      <c r="A20" t="s">
        <v>6</v>
      </c>
      <c r="B20">
        <v>0</v>
      </c>
      <c r="C20">
        <v>0</v>
      </c>
      <c r="D20">
        <v>0.43882900000000002</v>
      </c>
    </row>
    <row r="21" spans="1:4" x14ac:dyDescent="0.35">
      <c r="A21" t="s">
        <v>6</v>
      </c>
      <c r="B21">
        <v>0</v>
      </c>
      <c r="C21">
        <v>0</v>
      </c>
      <c r="D21">
        <v>0.56485870000000005</v>
      </c>
    </row>
    <row r="22" spans="1:4" x14ac:dyDescent="0.35">
      <c r="A22" t="s">
        <v>6</v>
      </c>
      <c r="B22">
        <v>0</v>
      </c>
      <c r="C22">
        <v>0</v>
      </c>
      <c r="D22">
        <v>0.43898389999999998</v>
      </c>
    </row>
    <row r="23" spans="1:4" x14ac:dyDescent="0.35">
      <c r="A23" t="s">
        <v>6</v>
      </c>
      <c r="B23">
        <v>0</v>
      </c>
      <c r="C23">
        <v>0</v>
      </c>
      <c r="D23">
        <v>0.46129300000000001</v>
      </c>
    </row>
    <row r="24" spans="1:4" x14ac:dyDescent="0.35">
      <c r="A24" t="s">
        <v>6</v>
      </c>
      <c r="B24">
        <v>0</v>
      </c>
      <c r="C24">
        <v>0</v>
      </c>
      <c r="D24">
        <v>0.58264939999999998</v>
      </c>
    </row>
    <row r="25" spans="1:4" x14ac:dyDescent="0.35">
      <c r="A25" t="s">
        <v>6</v>
      </c>
      <c r="B25">
        <v>0</v>
      </c>
      <c r="C25">
        <v>0</v>
      </c>
      <c r="D25">
        <v>0.52054069999999997</v>
      </c>
    </row>
    <row r="26" spans="1:4" x14ac:dyDescent="0.35">
      <c r="A26" t="s">
        <v>6</v>
      </c>
      <c r="B26">
        <v>0</v>
      </c>
      <c r="C26">
        <v>0</v>
      </c>
      <c r="D26">
        <v>0.65415849999999998</v>
      </c>
    </row>
    <row r="27" spans="1:4" x14ac:dyDescent="0.35">
      <c r="A27" t="s">
        <v>6</v>
      </c>
      <c r="B27">
        <v>0</v>
      </c>
      <c r="C27">
        <v>0</v>
      </c>
      <c r="D27">
        <v>0.4015553</v>
      </c>
    </row>
    <row r="28" spans="1:4" x14ac:dyDescent="0.35">
      <c r="A28" t="s">
        <v>6</v>
      </c>
      <c r="B28">
        <v>0</v>
      </c>
      <c r="C28">
        <v>0</v>
      </c>
      <c r="D28">
        <v>0.36642469999999999</v>
      </c>
    </row>
    <row r="29" spans="1:4" x14ac:dyDescent="0.35">
      <c r="A29" t="s">
        <v>6</v>
      </c>
      <c r="B29">
        <v>0</v>
      </c>
      <c r="C29">
        <v>0</v>
      </c>
      <c r="D29">
        <v>0.45347009999999999</v>
      </c>
    </row>
    <row r="30" spans="1:4" x14ac:dyDescent="0.35">
      <c r="A30" t="s">
        <v>6</v>
      </c>
      <c r="B30">
        <v>0</v>
      </c>
      <c r="C30">
        <v>0</v>
      </c>
      <c r="D30">
        <v>0.43797000000000003</v>
      </c>
    </row>
    <row r="31" spans="1:4" x14ac:dyDescent="0.35">
      <c r="A31" t="s">
        <v>6</v>
      </c>
      <c r="B31">
        <v>0</v>
      </c>
      <c r="C31">
        <v>0</v>
      </c>
      <c r="D31">
        <v>0.49348419999999998</v>
      </c>
    </row>
    <row r="32" spans="1:4" x14ac:dyDescent="0.35">
      <c r="A32" t="s">
        <v>6</v>
      </c>
      <c r="B32">
        <v>0</v>
      </c>
      <c r="C32">
        <v>0</v>
      </c>
      <c r="D32">
        <v>0.4083001</v>
      </c>
    </row>
    <row r="33" spans="1:4" x14ac:dyDescent="0.35">
      <c r="A33" t="s">
        <v>6</v>
      </c>
      <c r="B33">
        <v>0</v>
      </c>
      <c r="C33">
        <v>0</v>
      </c>
      <c r="D33">
        <v>0.42704039999999999</v>
      </c>
    </row>
    <row r="34" spans="1:4" x14ac:dyDescent="0.35">
      <c r="A34" t="s">
        <v>6</v>
      </c>
      <c r="B34">
        <v>0</v>
      </c>
      <c r="C34">
        <v>0</v>
      </c>
      <c r="D34">
        <v>0.4583081</v>
      </c>
    </row>
    <row r="35" spans="1:4" x14ac:dyDescent="0.35">
      <c r="A35" t="s">
        <v>6</v>
      </c>
      <c r="B35">
        <v>0</v>
      </c>
      <c r="C35">
        <v>0</v>
      </c>
      <c r="D35">
        <v>0.4813887</v>
      </c>
    </row>
    <row r="36" spans="1:4" x14ac:dyDescent="0.35">
      <c r="A36" t="s">
        <v>5</v>
      </c>
      <c r="B36">
        <v>0</v>
      </c>
      <c r="C36">
        <v>0</v>
      </c>
      <c r="D36">
        <v>0.31657940000000001</v>
      </c>
    </row>
    <row r="37" spans="1:4" x14ac:dyDescent="0.35">
      <c r="A37" t="s">
        <v>5</v>
      </c>
      <c r="B37">
        <v>0</v>
      </c>
      <c r="C37">
        <v>0</v>
      </c>
      <c r="D37">
        <v>0.40950700000000001</v>
      </c>
    </row>
    <row r="38" spans="1:4" x14ac:dyDescent="0.35">
      <c r="A38" t="s">
        <v>5</v>
      </c>
      <c r="B38">
        <v>0</v>
      </c>
      <c r="C38">
        <v>0</v>
      </c>
      <c r="D38">
        <v>0.65507919999999997</v>
      </c>
    </row>
    <row r="39" spans="1:4" x14ac:dyDescent="0.35">
      <c r="A39" t="s">
        <v>5</v>
      </c>
      <c r="B39">
        <v>0</v>
      </c>
      <c r="C39">
        <v>0</v>
      </c>
      <c r="D39">
        <v>0.42818580000000001</v>
      </c>
    </row>
    <row r="40" spans="1:4" x14ac:dyDescent="0.35">
      <c r="A40" t="s">
        <v>5</v>
      </c>
      <c r="B40">
        <v>0</v>
      </c>
      <c r="C40">
        <v>0</v>
      </c>
      <c r="D40">
        <v>0.54085260000000002</v>
      </c>
    </row>
    <row r="41" spans="1:4" x14ac:dyDescent="0.35">
      <c r="A41" t="s">
        <v>5</v>
      </c>
      <c r="B41">
        <v>0</v>
      </c>
      <c r="C41">
        <v>0</v>
      </c>
      <c r="D41">
        <v>0.47701090000000002</v>
      </c>
    </row>
    <row r="42" spans="1:4" x14ac:dyDescent="0.35">
      <c r="A42" t="s">
        <v>5</v>
      </c>
      <c r="B42">
        <v>0</v>
      </c>
      <c r="C42">
        <v>0</v>
      </c>
      <c r="D42">
        <v>0.4316353</v>
      </c>
    </row>
    <row r="43" spans="1:4" x14ac:dyDescent="0.35">
      <c r="A43" t="s">
        <v>5</v>
      </c>
      <c r="B43">
        <v>0</v>
      </c>
      <c r="C43">
        <v>0</v>
      </c>
      <c r="D43">
        <v>0.51363939999999997</v>
      </c>
    </row>
    <row r="44" spans="1:4" x14ac:dyDescent="0.35">
      <c r="A44" t="s">
        <v>5</v>
      </c>
      <c r="B44">
        <v>0</v>
      </c>
      <c r="C44">
        <v>0</v>
      </c>
      <c r="D44">
        <v>0.46799079999999998</v>
      </c>
    </row>
    <row r="45" spans="1:4" x14ac:dyDescent="0.35">
      <c r="A45" t="s">
        <v>5</v>
      </c>
      <c r="B45">
        <v>0</v>
      </c>
      <c r="C45">
        <v>0</v>
      </c>
      <c r="D45">
        <v>0.45033269999999997</v>
      </c>
    </row>
    <row r="46" spans="1:4" x14ac:dyDescent="0.35">
      <c r="A46" t="s">
        <v>5</v>
      </c>
      <c r="B46">
        <v>0</v>
      </c>
      <c r="C46">
        <v>0</v>
      </c>
      <c r="D46">
        <v>0.5582722</v>
      </c>
    </row>
    <row r="47" spans="1:4" x14ac:dyDescent="0.35">
      <c r="A47" t="s">
        <v>5</v>
      </c>
      <c r="B47">
        <v>0</v>
      </c>
      <c r="C47">
        <v>0</v>
      </c>
      <c r="D47">
        <v>0.43922460000000002</v>
      </c>
    </row>
    <row r="48" spans="1:4" x14ac:dyDescent="0.35">
      <c r="A48" t="s">
        <v>5</v>
      </c>
      <c r="B48">
        <v>0</v>
      </c>
      <c r="C48">
        <v>0</v>
      </c>
      <c r="D48">
        <v>0.43005389999999999</v>
      </c>
    </row>
    <row r="49" spans="1:4" x14ac:dyDescent="0.35">
      <c r="A49" t="s">
        <v>5</v>
      </c>
      <c r="B49">
        <v>0</v>
      </c>
      <c r="C49">
        <v>0</v>
      </c>
      <c r="D49">
        <v>0.53431969999999995</v>
      </c>
    </row>
    <row r="50" spans="1:4" x14ac:dyDescent="0.35">
      <c r="A50" t="s">
        <v>5</v>
      </c>
      <c r="B50">
        <v>0</v>
      </c>
      <c r="C50">
        <v>0</v>
      </c>
      <c r="D50">
        <v>0.49746810000000002</v>
      </c>
    </row>
    <row r="51" spans="1:4" x14ac:dyDescent="0.35">
      <c r="A51" t="s">
        <v>5</v>
      </c>
      <c r="B51">
        <v>0</v>
      </c>
      <c r="C51">
        <v>0</v>
      </c>
      <c r="D51">
        <v>0.53410219999999997</v>
      </c>
    </row>
    <row r="52" spans="1:4" x14ac:dyDescent="0.35">
      <c r="A52" t="s">
        <v>5</v>
      </c>
      <c r="B52">
        <v>0</v>
      </c>
      <c r="C52">
        <v>0</v>
      </c>
      <c r="D52">
        <v>0.5381203</v>
      </c>
    </row>
    <row r="53" spans="1:4" x14ac:dyDescent="0.35">
      <c r="A53" t="s">
        <v>5</v>
      </c>
      <c r="B53">
        <v>0</v>
      </c>
      <c r="C53">
        <v>0</v>
      </c>
      <c r="D53">
        <v>0.46512829999999999</v>
      </c>
    </row>
    <row r="54" spans="1:4" x14ac:dyDescent="0.35">
      <c r="A54" t="s">
        <v>5</v>
      </c>
      <c r="B54">
        <v>0</v>
      </c>
      <c r="C54">
        <v>0</v>
      </c>
      <c r="D54">
        <v>0.44111149999999999</v>
      </c>
    </row>
    <row r="55" spans="1:4" x14ac:dyDescent="0.35">
      <c r="A55" t="s">
        <v>5</v>
      </c>
      <c r="B55">
        <v>0</v>
      </c>
      <c r="C55">
        <v>0</v>
      </c>
      <c r="D55">
        <v>0.49087029999999998</v>
      </c>
    </row>
    <row r="56" spans="1:4" x14ac:dyDescent="0.35">
      <c r="A56" t="s">
        <v>5</v>
      </c>
      <c r="B56">
        <v>0</v>
      </c>
      <c r="C56">
        <v>0</v>
      </c>
      <c r="D56">
        <v>0.42197210000000002</v>
      </c>
    </row>
    <row r="57" spans="1:4" x14ac:dyDescent="0.35">
      <c r="A57" t="s">
        <v>5</v>
      </c>
      <c r="B57">
        <v>0</v>
      </c>
      <c r="C57">
        <v>0</v>
      </c>
      <c r="D57">
        <v>0.47638649999999999</v>
      </c>
    </row>
    <row r="58" spans="1:4" x14ac:dyDescent="0.35">
      <c r="A58" t="s">
        <v>6</v>
      </c>
      <c r="B58">
        <v>0</v>
      </c>
      <c r="C58">
        <v>1</v>
      </c>
      <c r="D58">
        <v>0.3537633</v>
      </c>
    </row>
    <row r="59" spans="1:4" x14ac:dyDescent="0.35">
      <c r="A59" t="s">
        <v>6</v>
      </c>
      <c r="B59">
        <v>0</v>
      </c>
      <c r="C59">
        <v>1</v>
      </c>
      <c r="D59">
        <v>0.55800070000000002</v>
      </c>
    </row>
    <row r="60" spans="1:4" x14ac:dyDescent="0.35">
      <c r="A60" t="s">
        <v>6</v>
      </c>
      <c r="B60">
        <v>0</v>
      </c>
      <c r="C60">
        <v>1</v>
      </c>
      <c r="D60">
        <v>0.42530420000000002</v>
      </c>
    </row>
    <row r="61" spans="1:4" x14ac:dyDescent="0.35">
      <c r="A61" t="s">
        <v>6</v>
      </c>
      <c r="B61">
        <v>0</v>
      </c>
      <c r="C61">
        <v>1</v>
      </c>
      <c r="D61">
        <v>0.45240590000000003</v>
      </c>
    </row>
    <row r="62" spans="1:4" x14ac:dyDescent="0.35">
      <c r="A62" t="s">
        <v>6</v>
      </c>
      <c r="B62">
        <v>0</v>
      </c>
      <c r="C62">
        <v>1</v>
      </c>
      <c r="D62">
        <v>0.43931569999999998</v>
      </c>
    </row>
    <row r="63" spans="1:4" x14ac:dyDescent="0.35">
      <c r="A63" t="s">
        <v>6</v>
      </c>
      <c r="B63">
        <v>0</v>
      </c>
      <c r="C63">
        <v>1</v>
      </c>
      <c r="D63">
        <v>0.54673269999999996</v>
      </c>
    </row>
    <row r="64" spans="1:4" x14ac:dyDescent="0.35">
      <c r="A64" t="s">
        <v>6</v>
      </c>
      <c r="B64">
        <v>0</v>
      </c>
      <c r="C64">
        <v>1</v>
      </c>
      <c r="D64">
        <v>0.36101280000000002</v>
      </c>
    </row>
    <row r="65" spans="1:4" x14ac:dyDescent="0.35">
      <c r="A65" t="s">
        <v>6</v>
      </c>
      <c r="B65">
        <v>0</v>
      </c>
      <c r="C65">
        <v>1</v>
      </c>
      <c r="D65">
        <v>0.39376699999999998</v>
      </c>
    </row>
    <row r="66" spans="1:4" x14ac:dyDescent="0.35">
      <c r="A66" t="s">
        <v>6</v>
      </c>
      <c r="B66">
        <v>0</v>
      </c>
      <c r="C66">
        <v>1</v>
      </c>
      <c r="D66">
        <v>0.45029799999999998</v>
      </c>
    </row>
    <row r="67" spans="1:4" x14ac:dyDescent="0.35">
      <c r="A67" t="s">
        <v>6</v>
      </c>
      <c r="B67">
        <v>0</v>
      </c>
      <c r="C67">
        <v>1</v>
      </c>
      <c r="D67">
        <v>0.38706699999999999</v>
      </c>
    </row>
    <row r="68" spans="1:4" x14ac:dyDescent="0.35">
      <c r="A68" t="s">
        <v>6</v>
      </c>
      <c r="B68">
        <v>0</v>
      </c>
      <c r="C68">
        <v>1</v>
      </c>
      <c r="D68">
        <v>0.4253325</v>
      </c>
    </row>
    <row r="69" spans="1:4" x14ac:dyDescent="0.35">
      <c r="A69" t="s">
        <v>6</v>
      </c>
      <c r="B69">
        <v>0</v>
      </c>
      <c r="C69">
        <v>1</v>
      </c>
      <c r="D69">
        <v>0.46093509999999999</v>
      </c>
    </row>
    <row r="70" spans="1:4" x14ac:dyDescent="0.35">
      <c r="A70" t="s">
        <v>6</v>
      </c>
      <c r="B70">
        <v>0</v>
      </c>
      <c r="C70">
        <v>1</v>
      </c>
      <c r="D70">
        <v>0.51424230000000004</v>
      </c>
    </row>
    <row r="71" spans="1:4" x14ac:dyDescent="0.35">
      <c r="A71" t="s">
        <v>6</v>
      </c>
      <c r="B71">
        <v>0</v>
      </c>
      <c r="C71">
        <v>1</v>
      </c>
      <c r="D71">
        <v>0.43335960000000001</v>
      </c>
    </row>
    <row r="72" spans="1:4" x14ac:dyDescent="0.35">
      <c r="A72" t="s">
        <v>6</v>
      </c>
      <c r="B72">
        <v>0</v>
      </c>
      <c r="C72">
        <v>1</v>
      </c>
      <c r="D72">
        <v>0.41726079999999999</v>
      </c>
    </row>
    <row r="73" spans="1:4" x14ac:dyDescent="0.35">
      <c r="A73" t="s">
        <v>6</v>
      </c>
      <c r="B73">
        <v>0</v>
      </c>
      <c r="C73">
        <v>1</v>
      </c>
      <c r="D73">
        <v>0.40058880000000002</v>
      </c>
    </row>
    <row r="74" spans="1:4" x14ac:dyDescent="0.35">
      <c r="A74" t="s">
        <v>6</v>
      </c>
      <c r="B74">
        <v>0</v>
      </c>
      <c r="C74">
        <v>1</v>
      </c>
      <c r="D74">
        <v>0.57870250000000001</v>
      </c>
    </row>
    <row r="75" spans="1:4" x14ac:dyDescent="0.35">
      <c r="A75" t="s">
        <v>6</v>
      </c>
      <c r="B75">
        <v>0</v>
      </c>
      <c r="C75">
        <v>1</v>
      </c>
      <c r="D75">
        <v>0.41299819999999998</v>
      </c>
    </row>
    <row r="76" spans="1:4" x14ac:dyDescent="0.35">
      <c r="A76" t="s">
        <v>6</v>
      </c>
      <c r="B76">
        <v>0</v>
      </c>
      <c r="C76">
        <v>1</v>
      </c>
      <c r="D76">
        <v>0.42395290000000002</v>
      </c>
    </row>
    <row r="77" spans="1:4" x14ac:dyDescent="0.35">
      <c r="A77" t="s">
        <v>6</v>
      </c>
      <c r="B77">
        <v>0</v>
      </c>
      <c r="C77">
        <v>1</v>
      </c>
      <c r="D77">
        <v>0.40842469999999997</v>
      </c>
    </row>
    <row r="78" spans="1:4" x14ac:dyDescent="0.35">
      <c r="A78" t="s">
        <v>6</v>
      </c>
      <c r="B78">
        <v>0</v>
      </c>
      <c r="C78">
        <v>1</v>
      </c>
      <c r="D78">
        <v>0.41869269999999997</v>
      </c>
    </row>
    <row r="79" spans="1:4" x14ac:dyDescent="0.35">
      <c r="A79" t="s">
        <v>6</v>
      </c>
      <c r="B79">
        <v>0</v>
      </c>
      <c r="C79">
        <v>1</v>
      </c>
      <c r="D79">
        <v>0.45376549999999999</v>
      </c>
    </row>
    <row r="80" spans="1:4" x14ac:dyDescent="0.35">
      <c r="A80" t="s">
        <v>5</v>
      </c>
      <c r="B80">
        <v>0</v>
      </c>
      <c r="C80">
        <v>1</v>
      </c>
      <c r="D80">
        <v>0.37482520000000003</v>
      </c>
    </row>
    <row r="81" spans="1:4" x14ac:dyDescent="0.35">
      <c r="A81" t="s">
        <v>5</v>
      </c>
      <c r="B81">
        <v>0</v>
      </c>
      <c r="C81">
        <v>1</v>
      </c>
      <c r="D81">
        <v>0.52270019999999995</v>
      </c>
    </row>
    <row r="82" spans="1:4" x14ac:dyDescent="0.35">
      <c r="A82" t="s">
        <v>5</v>
      </c>
      <c r="B82">
        <v>0</v>
      </c>
      <c r="C82">
        <v>1</v>
      </c>
      <c r="D82">
        <v>0.40396349999999998</v>
      </c>
    </row>
    <row r="83" spans="1:4" x14ac:dyDescent="0.35">
      <c r="A83" t="s">
        <v>5</v>
      </c>
      <c r="B83">
        <v>0</v>
      </c>
      <c r="C83">
        <v>1</v>
      </c>
      <c r="D83">
        <v>0.57798309999999997</v>
      </c>
    </row>
    <row r="84" spans="1:4" x14ac:dyDescent="0.35">
      <c r="A84" t="s">
        <v>5</v>
      </c>
      <c r="B84">
        <v>0</v>
      </c>
      <c r="C84">
        <v>1</v>
      </c>
      <c r="D84">
        <v>0.50116859999999996</v>
      </c>
    </row>
    <row r="85" spans="1:4" x14ac:dyDescent="0.35">
      <c r="A85" t="s">
        <v>5</v>
      </c>
      <c r="B85">
        <v>0</v>
      </c>
      <c r="C85">
        <v>1</v>
      </c>
      <c r="D85">
        <v>0.48184670000000002</v>
      </c>
    </row>
    <row r="86" spans="1:4" x14ac:dyDescent="0.35">
      <c r="A86" t="s">
        <v>5</v>
      </c>
      <c r="B86">
        <v>0</v>
      </c>
      <c r="C86">
        <v>1</v>
      </c>
      <c r="D86">
        <v>0.49081859999999999</v>
      </c>
    </row>
    <row r="87" spans="1:4" x14ac:dyDescent="0.35">
      <c r="A87" t="s">
        <v>5</v>
      </c>
      <c r="B87">
        <v>0</v>
      </c>
      <c r="C87">
        <v>1</v>
      </c>
      <c r="D87">
        <v>0.4214524</v>
      </c>
    </row>
    <row r="88" spans="1:4" x14ac:dyDescent="0.35">
      <c r="A88" t="s">
        <v>5</v>
      </c>
      <c r="B88">
        <v>0</v>
      </c>
      <c r="C88">
        <v>1</v>
      </c>
      <c r="D88">
        <v>0.48610920000000002</v>
      </c>
    </row>
    <row r="89" spans="1:4" x14ac:dyDescent="0.35">
      <c r="A89" t="s">
        <v>5</v>
      </c>
      <c r="B89">
        <v>0</v>
      </c>
      <c r="C89">
        <v>1</v>
      </c>
      <c r="D89">
        <v>0.58050999999999997</v>
      </c>
    </row>
    <row r="90" spans="1:4" x14ac:dyDescent="0.35">
      <c r="A90" t="s">
        <v>5</v>
      </c>
      <c r="B90">
        <v>0</v>
      </c>
      <c r="C90">
        <v>1</v>
      </c>
      <c r="D90">
        <v>0.42285729999999999</v>
      </c>
    </row>
    <row r="91" spans="1:4" x14ac:dyDescent="0.35">
      <c r="A91" t="s">
        <v>5</v>
      </c>
      <c r="B91">
        <v>0</v>
      </c>
      <c r="C91">
        <v>1</v>
      </c>
      <c r="D91">
        <v>0.41708580000000001</v>
      </c>
    </row>
    <row r="92" spans="1:4" x14ac:dyDescent="0.35">
      <c r="A92" t="s">
        <v>5</v>
      </c>
      <c r="B92">
        <v>0</v>
      </c>
      <c r="C92">
        <v>1</v>
      </c>
      <c r="D92">
        <v>0.38608799999999999</v>
      </c>
    </row>
    <row r="93" spans="1:4" x14ac:dyDescent="0.35">
      <c r="A93" t="s">
        <v>5</v>
      </c>
      <c r="B93">
        <v>0</v>
      </c>
      <c r="C93">
        <v>1</v>
      </c>
      <c r="D93">
        <v>0.37020839999999999</v>
      </c>
    </row>
    <row r="94" spans="1:4" x14ac:dyDescent="0.35">
      <c r="A94" t="s">
        <v>5</v>
      </c>
      <c r="B94">
        <v>0</v>
      </c>
      <c r="C94">
        <v>1</v>
      </c>
      <c r="D94">
        <v>0.42413440000000002</v>
      </c>
    </row>
    <row r="95" spans="1:4" x14ac:dyDescent="0.35">
      <c r="A95" t="s">
        <v>5</v>
      </c>
      <c r="B95">
        <v>0</v>
      </c>
      <c r="C95">
        <v>1</v>
      </c>
      <c r="D95">
        <v>0.43082409999999999</v>
      </c>
    </row>
    <row r="96" spans="1:4" x14ac:dyDescent="0.35">
      <c r="A96" t="s">
        <v>5</v>
      </c>
      <c r="B96">
        <v>0</v>
      </c>
      <c r="C96">
        <v>1</v>
      </c>
      <c r="D96">
        <v>0.43944909999999998</v>
      </c>
    </row>
    <row r="97" spans="1:4" x14ac:dyDescent="0.35">
      <c r="A97" t="s">
        <v>5</v>
      </c>
      <c r="B97">
        <v>0</v>
      </c>
      <c r="C97">
        <v>1</v>
      </c>
      <c r="D97">
        <v>0.53508659999999997</v>
      </c>
    </row>
    <row r="98" spans="1:4" x14ac:dyDescent="0.35">
      <c r="A98" t="s">
        <v>5</v>
      </c>
      <c r="B98">
        <v>0</v>
      </c>
      <c r="C98">
        <v>1</v>
      </c>
      <c r="D98">
        <v>0.4945331</v>
      </c>
    </row>
    <row r="99" spans="1:4" x14ac:dyDescent="0.35">
      <c r="A99" t="s">
        <v>5</v>
      </c>
      <c r="B99">
        <v>0</v>
      </c>
      <c r="C99">
        <v>1</v>
      </c>
      <c r="D99">
        <v>0.64729890000000001</v>
      </c>
    </row>
    <row r="100" spans="1:4" x14ac:dyDescent="0.35">
      <c r="A100" t="s">
        <v>5</v>
      </c>
      <c r="B100">
        <v>0</v>
      </c>
      <c r="C100">
        <v>1</v>
      </c>
      <c r="D100">
        <v>0.44773059999999998</v>
      </c>
    </row>
    <row r="101" spans="1:4" x14ac:dyDescent="0.35">
      <c r="A101" t="s">
        <v>5</v>
      </c>
      <c r="B101">
        <v>0</v>
      </c>
      <c r="C101">
        <v>1</v>
      </c>
      <c r="D101">
        <v>0.45482400000000001</v>
      </c>
    </row>
  </sheetData>
  <autoFilter ref="A1:D1" xr:uid="{A8033ABE-0A5E-4B02-8747-EA525EA03900}">
    <sortState xmlns:xlrd2="http://schemas.microsoft.com/office/spreadsheetml/2017/richdata2" ref="A2:D101">
      <sortCondition descending="1" ref="B1"/>
    </sortState>
  </autoFilter>
  <mergeCells count="2">
    <mergeCell ref="G1:I1"/>
    <mergeCell ref="L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9096-CCFE-48F2-925B-433F40174663}">
  <dimension ref="A1:N101"/>
  <sheetViews>
    <sheetView workbookViewId="0">
      <selection activeCell="L1" sqref="L1:N5"/>
    </sheetView>
  </sheetViews>
  <sheetFormatPr defaultRowHeight="14.5" x14ac:dyDescent="0.35"/>
  <cols>
    <col min="1" max="1" width="6.54296875" bestFit="1" customWidth="1"/>
    <col min="2" max="2" width="6.6328125" bestFit="1" customWidth="1"/>
    <col min="3" max="3" width="9.26953125" bestFit="1" customWidth="1"/>
    <col min="4" max="4" width="20.453125" bestFit="1" customWidth="1"/>
    <col min="7" max="7" width="7.54296875" bestFit="1" customWidth="1"/>
    <col min="8" max="8" width="9.54296875" bestFit="1" customWidth="1"/>
    <col min="9" max="9" width="10.90625" bestFit="1" customWidth="1"/>
    <col min="12" max="12" width="7.54296875" bestFit="1" customWidth="1"/>
    <col min="13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G1" s="8" t="s">
        <v>16</v>
      </c>
      <c r="H1" s="8"/>
      <c r="I1" s="8"/>
      <c r="L1" s="8" t="s">
        <v>17</v>
      </c>
      <c r="M1" s="8"/>
      <c r="N1" s="8"/>
    </row>
    <row r="2" spans="1:14" x14ac:dyDescent="0.35">
      <c r="A2" t="s">
        <v>6</v>
      </c>
      <c r="B2">
        <v>1</v>
      </c>
      <c r="C2">
        <v>0</v>
      </c>
      <c r="D2">
        <v>1.19506030000047</v>
      </c>
      <c r="G2" s="1"/>
      <c r="H2" s="1" t="s">
        <v>13</v>
      </c>
      <c r="I2" s="1" t="s">
        <v>14</v>
      </c>
      <c r="L2" s="1"/>
      <c r="M2" s="1" t="s">
        <v>13</v>
      </c>
      <c r="N2" s="1" t="s">
        <v>14</v>
      </c>
    </row>
    <row r="3" spans="1:14" x14ac:dyDescent="0.35">
      <c r="A3" t="s">
        <v>6</v>
      </c>
      <c r="B3">
        <v>1</v>
      </c>
      <c r="C3">
        <v>0</v>
      </c>
      <c r="D3">
        <v>0.57397959998343095</v>
      </c>
      <c r="G3" s="1" t="s">
        <v>12</v>
      </c>
      <c r="H3" s="1">
        <f>22/25*100</f>
        <v>88</v>
      </c>
      <c r="I3" s="1">
        <f>23/25*100</f>
        <v>92</v>
      </c>
      <c r="L3" s="1" t="s">
        <v>12</v>
      </c>
      <c r="M3" s="1">
        <f>AVERAGE(D48:D70)</f>
        <v>0.49725929129888963</v>
      </c>
      <c r="N3" s="1">
        <f>AVERAGE(D2:D24)</f>
        <v>0.5853666956485849</v>
      </c>
    </row>
    <row r="4" spans="1:14" x14ac:dyDescent="0.35">
      <c r="A4" t="s">
        <v>6</v>
      </c>
      <c r="B4">
        <v>1</v>
      </c>
      <c r="C4">
        <v>0</v>
      </c>
      <c r="D4">
        <v>0.64668030000757404</v>
      </c>
      <c r="G4" s="1" t="s">
        <v>15</v>
      </c>
      <c r="H4" s="1">
        <f>25/25*100</f>
        <v>100</v>
      </c>
      <c r="I4" s="1">
        <f>23/25*100</f>
        <v>92</v>
      </c>
      <c r="L4" s="1" t="s">
        <v>15</v>
      </c>
      <c r="M4" s="1">
        <f>AVERAGE(D71:D95)</f>
        <v>0.53981915600830666</v>
      </c>
      <c r="N4" s="1">
        <f>AVERAGE(D25:D47)</f>
        <v>0.53324121303866445</v>
      </c>
    </row>
    <row r="5" spans="1:14" x14ac:dyDescent="0.35">
      <c r="A5" t="s">
        <v>6</v>
      </c>
      <c r="B5">
        <v>1</v>
      </c>
      <c r="C5">
        <v>0</v>
      </c>
      <c r="D5">
        <v>0.43454290000954598</v>
      </c>
      <c r="G5" s="1" t="s">
        <v>20</v>
      </c>
      <c r="H5" s="1">
        <f>AVERAGE(H3:H4)</f>
        <v>94</v>
      </c>
      <c r="I5" s="1">
        <v>92</v>
      </c>
      <c r="L5" s="1" t="s">
        <v>20</v>
      </c>
      <c r="M5" s="1">
        <f>AVERAGE(M3:M4)</f>
        <v>0.51853922365359817</v>
      </c>
      <c r="N5" s="1">
        <f>AVERAGE(N3:N4)</f>
        <v>0.55930395434362468</v>
      </c>
    </row>
    <row r="6" spans="1:14" x14ac:dyDescent="0.35">
      <c r="A6" t="s">
        <v>6</v>
      </c>
      <c r="B6">
        <v>1</v>
      </c>
      <c r="C6">
        <v>0</v>
      </c>
      <c r="D6">
        <v>0.62037929997313701</v>
      </c>
    </row>
    <row r="7" spans="1:14" x14ac:dyDescent="0.35">
      <c r="A7" t="s">
        <v>6</v>
      </c>
      <c r="B7">
        <v>1</v>
      </c>
      <c r="C7">
        <v>0</v>
      </c>
      <c r="D7">
        <v>0.48561949998838799</v>
      </c>
    </row>
    <row r="8" spans="1:14" x14ac:dyDescent="0.35">
      <c r="A8" t="s">
        <v>6</v>
      </c>
      <c r="B8">
        <v>1</v>
      </c>
      <c r="C8">
        <v>0</v>
      </c>
      <c r="D8">
        <v>0.49167770001804401</v>
      </c>
    </row>
    <row r="9" spans="1:14" x14ac:dyDescent="0.35">
      <c r="A9" t="s">
        <v>6</v>
      </c>
      <c r="B9">
        <v>1</v>
      </c>
      <c r="C9">
        <v>0</v>
      </c>
      <c r="D9">
        <v>0.71240299998316903</v>
      </c>
    </row>
    <row r="10" spans="1:14" x14ac:dyDescent="0.35">
      <c r="A10" t="s">
        <v>6</v>
      </c>
      <c r="B10">
        <v>1</v>
      </c>
      <c r="C10">
        <v>0</v>
      </c>
      <c r="D10">
        <v>0.47741029999451701</v>
      </c>
    </row>
    <row r="11" spans="1:14" x14ac:dyDescent="0.35">
      <c r="A11" t="s">
        <v>6</v>
      </c>
      <c r="B11">
        <v>1</v>
      </c>
      <c r="C11">
        <v>0</v>
      </c>
      <c r="D11">
        <v>0.46185250004054901</v>
      </c>
    </row>
    <row r="12" spans="1:14" x14ac:dyDescent="0.35">
      <c r="A12" t="s">
        <v>6</v>
      </c>
      <c r="B12">
        <v>1</v>
      </c>
      <c r="C12">
        <v>0</v>
      </c>
      <c r="D12">
        <v>0.50296989997150299</v>
      </c>
    </row>
    <row r="13" spans="1:14" x14ac:dyDescent="0.35">
      <c r="A13" t="s">
        <v>6</v>
      </c>
      <c r="B13">
        <v>1</v>
      </c>
      <c r="C13">
        <v>0</v>
      </c>
      <c r="D13">
        <v>0.44864299998153001</v>
      </c>
    </row>
    <row r="14" spans="1:14" x14ac:dyDescent="0.35">
      <c r="A14" t="s">
        <v>6</v>
      </c>
      <c r="B14">
        <v>1</v>
      </c>
      <c r="C14">
        <v>0</v>
      </c>
      <c r="D14">
        <v>0.54963869997300197</v>
      </c>
    </row>
    <row r="15" spans="1:14" x14ac:dyDescent="0.35">
      <c r="A15" t="s">
        <v>6</v>
      </c>
      <c r="B15">
        <v>1</v>
      </c>
      <c r="C15">
        <v>0</v>
      </c>
      <c r="D15">
        <v>0.52580389997456201</v>
      </c>
    </row>
    <row r="16" spans="1:14" x14ac:dyDescent="0.35">
      <c r="A16" t="s">
        <v>6</v>
      </c>
      <c r="B16">
        <v>1</v>
      </c>
      <c r="C16">
        <v>0</v>
      </c>
      <c r="D16">
        <v>0.44100669998442699</v>
      </c>
    </row>
    <row r="17" spans="1:4" x14ac:dyDescent="0.35">
      <c r="A17" t="s">
        <v>6</v>
      </c>
      <c r="B17">
        <v>1</v>
      </c>
      <c r="C17">
        <v>0</v>
      </c>
      <c r="D17">
        <v>0.429601299983914</v>
      </c>
    </row>
    <row r="18" spans="1:4" x14ac:dyDescent="0.35">
      <c r="A18" t="s">
        <v>6</v>
      </c>
      <c r="B18">
        <v>1</v>
      </c>
      <c r="C18">
        <v>0</v>
      </c>
      <c r="D18">
        <v>1.4770986000075901</v>
      </c>
    </row>
    <row r="19" spans="1:4" x14ac:dyDescent="0.35">
      <c r="A19" t="s">
        <v>6</v>
      </c>
      <c r="B19">
        <v>1</v>
      </c>
      <c r="C19">
        <v>0</v>
      </c>
      <c r="D19">
        <v>0.33773809997364801</v>
      </c>
    </row>
    <row r="20" spans="1:4" x14ac:dyDescent="0.35">
      <c r="A20" t="s">
        <v>6</v>
      </c>
      <c r="B20">
        <v>1</v>
      </c>
      <c r="C20">
        <v>0</v>
      </c>
      <c r="D20">
        <v>0.59615390002727497</v>
      </c>
    </row>
    <row r="21" spans="1:4" x14ac:dyDescent="0.35">
      <c r="A21" t="s">
        <v>6</v>
      </c>
      <c r="B21">
        <v>1</v>
      </c>
      <c r="C21">
        <v>0</v>
      </c>
      <c r="D21">
        <v>0.51319490000605505</v>
      </c>
    </row>
    <row r="22" spans="1:4" x14ac:dyDescent="0.35">
      <c r="A22" t="s">
        <v>6</v>
      </c>
      <c r="B22">
        <v>1</v>
      </c>
      <c r="C22">
        <v>0</v>
      </c>
      <c r="D22">
        <v>0.476555900007952</v>
      </c>
    </row>
    <row r="23" spans="1:4" x14ac:dyDescent="0.35">
      <c r="A23" t="s">
        <v>6</v>
      </c>
      <c r="B23">
        <v>1</v>
      </c>
      <c r="C23">
        <v>0</v>
      </c>
      <c r="D23">
        <v>0.65836710005532895</v>
      </c>
    </row>
    <row r="24" spans="1:4" x14ac:dyDescent="0.35">
      <c r="A24" t="s">
        <v>6</v>
      </c>
      <c r="B24">
        <v>1</v>
      </c>
      <c r="C24">
        <v>0</v>
      </c>
      <c r="D24">
        <v>0.40705659997183802</v>
      </c>
    </row>
    <row r="25" spans="1:4" x14ac:dyDescent="0.35">
      <c r="A25" t="s">
        <v>5</v>
      </c>
      <c r="B25">
        <v>1</v>
      </c>
      <c r="C25">
        <v>0</v>
      </c>
      <c r="D25">
        <v>0.574792500003241</v>
      </c>
    </row>
    <row r="26" spans="1:4" x14ac:dyDescent="0.35">
      <c r="A26" t="s">
        <v>5</v>
      </c>
      <c r="B26">
        <v>1</v>
      </c>
      <c r="C26">
        <v>0</v>
      </c>
      <c r="D26">
        <v>0.57617549999849804</v>
      </c>
    </row>
    <row r="27" spans="1:4" x14ac:dyDescent="0.35">
      <c r="A27" t="s">
        <v>5</v>
      </c>
      <c r="B27">
        <v>1</v>
      </c>
      <c r="C27">
        <v>0</v>
      </c>
      <c r="D27">
        <v>0.48701149999396798</v>
      </c>
    </row>
    <row r="28" spans="1:4" x14ac:dyDescent="0.35">
      <c r="A28" t="s">
        <v>5</v>
      </c>
      <c r="B28">
        <v>1</v>
      </c>
      <c r="C28">
        <v>0</v>
      </c>
      <c r="D28">
        <v>0.71747040003538098</v>
      </c>
    </row>
    <row r="29" spans="1:4" x14ac:dyDescent="0.35">
      <c r="A29" t="s">
        <v>5</v>
      </c>
      <c r="B29">
        <v>1</v>
      </c>
      <c r="C29">
        <v>0</v>
      </c>
      <c r="D29">
        <v>0.51151659997412902</v>
      </c>
    </row>
    <row r="30" spans="1:4" x14ac:dyDescent="0.35">
      <c r="A30" t="s">
        <v>5</v>
      </c>
      <c r="B30">
        <v>1</v>
      </c>
      <c r="C30">
        <v>0</v>
      </c>
      <c r="D30">
        <v>0.46228139998856899</v>
      </c>
    </row>
    <row r="31" spans="1:4" x14ac:dyDescent="0.35">
      <c r="A31" t="s">
        <v>5</v>
      </c>
      <c r="B31">
        <v>1</v>
      </c>
      <c r="C31">
        <v>0</v>
      </c>
      <c r="D31">
        <v>0.71396269998513096</v>
      </c>
    </row>
    <row r="32" spans="1:4" x14ac:dyDescent="0.35">
      <c r="A32" t="s">
        <v>5</v>
      </c>
      <c r="B32">
        <v>1</v>
      </c>
      <c r="C32">
        <v>0</v>
      </c>
      <c r="D32">
        <v>0.47156279999762701</v>
      </c>
    </row>
    <row r="33" spans="1:4" x14ac:dyDescent="0.35">
      <c r="A33" t="s">
        <v>5</v>
      </c>
      <c r="B33">
        <v>1</v>
      </c>
      <c r="C33">
        <v>0</v>
      </c>
      <c r="D33">
        <v>0.40581440000096303</v>
      </c>
    </row>
    <row r="34" spans="1:4" x14ac:dyDescent="0.35">
      <c r="A34" t="s">
        <v>5</v>
      </c>
      <c r="B34">
        <v>1</v>
      </c>
      <c r="C34">
        <v>0</v>
      </c>
      <c r="D34">
        <v>0.488910900021437</v>
      </c>
    </row>
    <row r="35" spans="1:4" x14ac:dyDescent="0.35">
      <c r="A35" t="s">
        <v>5</v>
      </c>
      <c r="B35">
        <v>1</v>
      </c>
      <c r="C35">
        <v>0</v>
      </c>
      <c r="D35">
        <v>0.43469139997614498</v>
      </c>
    </row>
    <row r="36" spans="1:4" x14ac:dyDescent="0.35">
      <c r="A36" t="s">
        <v>5</v>
      </c>
      <c r="B36">
        <v>1</v>
      </c>
      <c r="C36">
        <v>0</v>
      </c>
      <c r="D36">
        <v>0.522354899963829</v>
      </c>
    </row>
    <row r="37" spans="1:4" x14ac:dyDescent="0.35">
      <c r="A37" t="s">
        <v>5</v>
      </c>
      <c r="B37">
        <v>1</v>
      </c>
      <c r="C37">
        <v>0</v>
      </c>
      <c r="D37">
        <v>0.82107730000279799</v>
      </c>
    </row>
    <row r="38" spans="1:4" x14ac:dyDescent="0.35">
      <c r="A38" t="s">
        <v>5</v>
      </c>
      <c r="B38">
        <v>1</v>
      </c>
      <c r="C38">
        <v>0</v>
      </c>
      <c r="D38">
        <v>0.37987059995066302</v>
      </c>
    </row>
    <row r="39" spans="1:4" x14ac:dyDescent="0.35">
      <c r="A39" t="s">
        <v>5</v>
      </c>
      <c r="B39">
        <v>1</v>
      </c>
      <c r="C39">
        <v>0</v>
      </c>
      <c r="D39">
        <v>0.48733350000111297</v>
      </c>
    </row>
    <row r="40" spans="1:4" x14ac:dyDescent="0.35">
      <c r="A40" t="s">
        <v>5</v>
      </c>
      <c r="B40">
        <v>1</v>
      </c>
      <c r="C40">
        <v>0</v>
      </c>
      <c r="D40">
        <v>0.53249060001689896</v>
      </c>
    </row>
    <row r="41" spans="1:4" x14ac:dyDescent="0.35">
      <c r="A41" t="s">
        <v>5</v>
      </c>
      <c r="B41">
        <v>1</v>
      </c>
      <c r="C41">
        <v>0</v>
      </c>
      <c r="D41">
        <v>0.46769640001002699</v>
      </c>
    </row>
    <row r="42" spans="1:4" x14ac:dyDescent="0.35">
      <c r="A42" t="s">
        <v>5</v>
      </c>
      <c r="B42">
        <v>1</v>
      </c>
      <c r="C42">
        <v>0</v>
      </c>
      <c r="D42">
        <v>0.49811879999469899</v>
      </c>
    </row>
    <row r="43" spans="1:4" x14ac:dyDescent="0.35">
      <c r="A43" t="s">
        <v>5</v>
      </c>
      <c r="B43">
        <v>1</v>
      </c>
      <c r="C43">
        <v>0</v>
      </c>
      <c r="D43">
        <v>0.51620040001580403</v>
      </c>
    </row>
    <row r="44" spans="1:4" x14ac:dyDescent="0.35">
      <c r="A44" t="s">
        <v>5</v>
      </c>
      <c r="B44">
        <v>1</v>
      </c>
      <c r="C44">
        <v>0</v>
      </c>
      <c r="D44">
        <v>0.45127849996788399</v>
      </c>
    </row>
    <row r="45" spans="1:4" x14ac:dyDescent="0.35">
      <c r="A45" t="s">
        <v>5</v>
      </c>
      <c r="B45">
        <v>1</v>
      </c>
      <c r="C45">
        <v>0</v>
      </c>
      <c r="D45">
        <v>0.451875699975062</v>
      </c>
    </row>
    <row r="46" spans="1:4" x14ac:dyDescent="0.35">
      <c r="A46" t="s">
        <v>5</v>
      </c>
      <c r="B46">
        <v>1</v>
      </c>
      <c r="C46">
        <v>0</v>
      </c>
      <c r="D46">
        <v>0.67657850001705799</v>
      </c>
    </row>
    <row r="47" spans="1:4" x14ac:dyDescent="0.35">
      <c r="A47" t="s">
        <v>5</v>
      </c>
      <c r="B47">
        <v>1</v>
      </c>
      <c r="C47">
        <v>0</v>
      </c>
      <c r="D47">
        <v>0.61548259999835797</v>
      </c>
    </row>
    <row r="48" spans="1:4" x14ac:dyDescent="0.35">
      <c r="A48" t="s">
        <v>6</v>
      </c>
      <c r="B48">
        <v>1</v>
      </c>
      <c r="C48">
        <v>1</v>
      </c>
      <c r="D48">
        <v>0.53911690000677404</v>
      </c>
    </row>
    <row r="49" spans="1:4" x14ac:dyDescent="0.35">
      <c r="A49" t="s">
        <v>6</v>
      </c>
      <c r="B49">
        <v>1</v>
      </c>
      <c r="C49">
        <v>1</v>
      </c>
      <c r="D49">
        <v>0.56782070000190199</v>
      </c>
    </row>
    <row r="50" spans="1:4" x14ac:dyDescent="0.35">
      <c r="A50" t="s">
        <v>6</v>
      </c>
      <c r="B50">
        <v>1</v>
      </c>
      <c r="C50">
        <v>1</v>
      </c>
      <c r="D50">
        <v>0.713185200002044</v>
      </c>
    </row>
    <row r="51" spans="1:4" x14ac:dyDescent="0.35">
      <c r="A51" t="s">
        <v>6</v>
      </c>
      <c r="B51">
        <v>1</v>
      </c>
      <c r="C51">
        <v>1</v>
      </c>
      <c r="D51">
        <v>0.47469600004842499</v>
      </c>
    </row>
    <row r="52" spans="1:4" x14ac:dyDescent="0.35">
      <c r="A52" t="s">
        <v>6</v>
      </c>
      <c r="B52">
        <v>1</v>
      </c>
      <c r="C52">
        <v>1</v>
      </c>
      <c r="D52">
        <v>0.48802330001490102</v>
      </c>
    </row>
    <row r="53" spans="1:4" x14ac:dyDescent="0.35">
      <c r="A53" t="s">
        <v>6</v>
      </c>
      <c r="B53">
        <v>1</v>
      </c>
      <c r="C53">
        <v>1</v>
      </c>
      <c r="D53">
        <v>0.49649769999086801</v>
      </c>
    </row>
    <row r="54" spans="1:4" x14ac:dyDescent="0.35">
      <c r="A54" t="s">
        <v>6</v>
      </c>
      <c r="B54">
        <v>1</v>
      </c>
      <c r="C54">
        <v>1</v>
      </c>
      <c r="D54">
        <v>0.48382289998698902</v>
      </c>
    </row>
    <row r="55" spans="1:4" x14ac:dyDescent="0.35">
      <c r="A55" t="s">
        <v>6</v>
      </c>
      <c r="B55">
        <v>1</v>
      </c>
      <c r="C55">
        <v>1</v>
      </c>
      <c r="D55">
        <v>0.63795779994688895</v>
      </c>
    </row>
    <row r="56" spans="1:4" x14ac:dyDescent="0.35">
      <c r="A56" t="s">
        <v>6</v>
      </c>
      <c r="B56">
        <v>1</v>
      </c>
      <c r="C56">
        <v>1</v>
      </c>
      <c r="D56">
        <v>0.51741460000630402</v>
      </c>
    </row>
    <row r="57" spans="1:4" x14ac:dyDescent="0.35">
      <c r="A57" t="s">
        <v>6</v>
      </c>
      <c r="B57">
        <v>1</v>
      </c>
      <c r="C57">
        <v>1</v>
      </c>
      <c r="D57">
        <v>0.426318000012543</v>
      </c>
    </row>
    <row r="58" spans="1:4" x14ac:dyDescent="0.35">
      <c r="A58" t="s">
        <v>6</v>
      </c>
      <c r="B58">
        <v>1</v>
      </c>
      <c r="C58">
        <v>1</v>
      </c>
      <c r="D58">
        <v>0.31950450001750103</v>
      </c>
    </row>
    <row r="59" spans="1:4" x14ac:dyDescent="0.35">
      <c r="A59" t="s">
        <v>6</v>
      </c>
      <c r="B59">
        <v>1</v>
      </c>
      <c r="C59">
        <v>1</v>
      </c>
      <c r="D59">
        <v>0.34894410002743798</v>
      </c>
    </row>
    <row r="60" spans="1:4" x14ac:dyDescent="0.35">
      <c r="A60" t="s">
        <v>6</v>
      </c>
      <c r="B60">
        <v>1</v>
      </c>
      <c r="C60">
        <v>1</v>
      </c>
      <c r="D60">
        <v>0.51633040001615804</v>
      </c>
    </row>
    <row r="61" spans="1:4" x14ac:dyDescent="0.35">
      <c r="A61" t="s">
        <v>6</v>
      </c>
      <c r="B61">
        <v>1</v>
      </c>
      <c r="C61">
        <v>1</v>
      </c>
      <c r="D61">
        <v>0.52473860001191497</v>
      </c>
    </row>
    <row r="62" spans="1:4" x14ac:dyDescent="0.35">
      <c r="A62" t="s">
        <v>6</v>
      </c>
      <c r="B62">
        <v>1</v>
      </c>
      <c r="C62">
        <v>1</v>
      </c>
      <c r="D62">
        <v>0.56518689997028504</v>
      </c>
    </row>
    <row r="63" spans="1:4" x14ac:dyDescent="0.35">
      <c r="A63" t="s">
        <v>6</v>
      </c>
      <c r="B63">
        <v>1</v>
      </c>
      <c r="C63">
        <v>1</v>
      </c>
      <c r="D63">
        <v>0.57243000000016697</v>
      </c>
    </row>
    <row r="64" spans="1:4" x14ac:dyDescent="0.35">
      <c r="A64" t="s">
        <v>6</v>
      </c>
      <c r="B64">
        <v>1</v>
      </c>
      <c r="C64">
        <v>1</v>
      </c>
      <c r="D64">
        <v>0.59489899995969597</v>
      </c>
    </row>
    <row r="65" spans="1:4" x14ac:dyDescent="0.35">
      <c r="A65" t="s">
        <v>6</v>
      </c>
      <c r="B65">
        <v>1</v>
      </c>
      <c r="C65">
        <v>1</v>
      </c>
      <c r="D65">
        <v>0.56658250000327803</v>
      </c>
    </row>
    <row r="66" spans="1:4" x14ac:dyDescent="0.35">
      <c r="A66" t="s">
        <v>6</v>
      </c>
      <c r="B66">
        <v>1</v>
      </c>
      <c r="C66">
        <v>1</v>
      </c>
      <c r="D66">
        <v>0.53833149996353302</v>
      </c>
    </row>
    <row r="67" spans="1:4" x14ac:dyDescent="0.35">
      <c r="A67" t="s">
        <v>6</v>
      </c>
      <c r="B67">
        <v>1</v>
      </c>
      <c r="C67">
        <v>1</v>
      </c>
      <c r="D67">
        <v>0.32548199995653698</v>
      </c>
    </row>
    <row r="68" spans="1:4" x14ac:dyDescent="0.35">
      <c r="A68" t="s">
        <v>6</v>
      </c>
      <c r="B68">
        <v>1</v>
      </c>
      <c r="C68">
        <v>1</v>
      </c>
      <c r="D68">
        <v>0.33606559998588598</v>
      </c>
    </row>
    <row r="69" spans="1:4" x14ac:dyDescent="0.35">
      <c r="A69" t="s">
        <v>6</v>
      </c>
      <c r="B69">
        <v>1</v>
      </c>
      <c r="C69">
        <v>1</v>
      </c>
      <c r="D69">
        <v>0.46507959999144</v>
      </c>
    </row>
    <row r="70" spans="1:4" x14ac:dyDescent="0.35">
      <c r="A70" t="s">
        <v>6</v>
      </c>
      <c r="B70">
        <v>1</v>
      </c>
      <c r="C70">
        <v>1</v>
      </c>
      <c r="D70">
        <v>0.41853589995298501</v>
      </c>
    </row>
    <row r="71" spans="1:4" x14ac:dyDescent="0.35">
      <c r="A71" t="s">
        <v>5</v>
      </c>
      <c r="B71">
        <v>1</v>
      </c>
      <c r="C71">
        <v>1</v>
      </c>
      <c r="D71">
        <v>0.54546819999814</v>
      </c>
    </row>
    <row r="72" spans="1:4" x14ac:dyDescent="0.35">
      <c r="A72" t="s">
        <v>5</v>
      </c>
      <c r="B72">
        <v>1</v>
      </c>
      <c r="C72">
        <v>1</v>
      </c>
      <c r="D72">
        <v>0.49231090000830502</v>
      </c>
    </row>
    <row r="73" spans="1:4" x14ac:dyDescent="0.35">
      <c r="A73" t="s">
        <v>5</v>
      </c>
      <c r="B73">
        <v>1</v>
      </c>
      <c r="C73">
        <v>1</v>
      </c>
      <c r="D73">
        <v>0.91033499996410605</v>
      </c>
    </row>
    <row r="74" spans="1:4" x14ac:dyDescent="0.35">
      <c r="A74" t="s">
        <v>5</v>
      </c>
      <c r="B74">
        <v>1</v>
      </c>
      <c r="C74">
        <v>1</v>
      </c>
      <c r="D74">
        <v>0.44546159997116702</v>
      </c>
    </row>
    <row r="75" spans="1:4" x14ac:dyDescent="0.35">
      <c r="A75" t="s">
        <v>5</v>
      </c>
      <c r="B75">
        <v>1</v>
      </c>
      <c r="C75">
        <v>1</v>
      </c>
      <c r="D75">
        <v>0.53920950001338497</v>
      </c>
    </row>
    <row r="76" spans="1:4" x14ac:dyDescent="0.35">
      <c r="A76" t="s">
        <v>5</v>
      </c>
      <c r="B76">
        <v>1</v>
      </c>
      <c r="C76">
        <v>1</v>
      </c>
      <c r="D76">
        <v>0.47992430004524</v>
      </c>
    </row>
    <row r="77" spans="1:4" x14ac:dyDescent="0.35">
      <c r="A77" t="s">
        <v>5</v>
      </c>
      <c r="B77">
        <v>1</v>
      </c>
      <c r="C77">
        <v>1</v>
      </c>
      <c r="D77">
        <v>0.47416660003363997</v>
      </c>
    </row>
    <row r="78" spans="1:4" x14ac:dyDescent="0.35">
      <c r="A78" t="s">
        <v>5</v>
      </c>
      <c r="B78">
        <v>1</v>
      </c>
      <c r="C78">
        <v>1</v>
      </c>
      <c r="D78">
        <v>0.45349310000892701</v>
      </c>
    </row>
    <row r="79" spans="1:4" x14ac:dyDescent="0.35">
      <c r="A79" t="s">
        <v>5</v>
      </c>
      <c r="B79">
        <v>1</v>
      </c>
      <c r="C79">
        <v>1</v>
      </c>
      <c r="D79">
        <v>0.41592330002458699</v>
      </c>
    </row>
    <row r="80" spans="1:4" x14ac:dyDescent="0.35">
      <c r="A80" t="s">
        <v>5</v>
      </c>
      <c r="B80">
        <v>1</v>
      </c>
      <c r="C80">
        <v>1</v>
      </c>
      <c r="D80">
        <v>0.327691200014669</v>
      </c>
    </row>
    <row r="81" spans="1:4" x14ac:dyDescent="0.35">
      <c r="A81" t="s">
        <v>5</v>
      </c>
      <c r="B81">
        <v>1</v>
      </c>
      <c r="C81">
        <v>1</v>
      </c>
      <c r="D81">
        <v>0.60362930002156601</v>
      </c>
    </row>
    <row r="82" spans="1:4" x14ac:dyDescent="0.35">
      <c r="A82" t="s">
        <v>5</v>
      </c>
      <c r="B82">
        <v>1</v>
      </c>
      <c r="C82">
        <v>1</v>
      </c>
      <c r="D82">
        <v>0.43072060000849799</v>
      </c>
    </row>
    <row r="83" spans="1:4" x14ac:dyDescent="0.35">
      <c r="A83" t="s">
        <v>5</v>
      </c>
      <c r="B83">
        <v>1</v>
      </c>
      <c r="C83">
        <v>1</v>
      </c>
      <c r="D83">
        <v>0.42940670001553299</v>
      </c>
    </row>
    <row r="84" spans="1:4" x14ac:dyDescent="0.35">
      <c r="A84" t="s">
        <v>5</v>
      </c>
      <c r="B84">
        <v>1</v>
      </c>
      <c r="C84">
        <v>1</v>
      </c>
      <c r="D84">
        <v>0.436007100041024</v>
      </c>
    </row>
    <row r="85" spans="1:4" x14ac:dyDescent="0.35">
      <c r="A85" t="s">
        <v>5</v>
      </c>
      <c r="B85">
        <v>1</v>
      </c>
      <c r="C85">
        <v>1</v>
      </c>
      <c r="D85">
        <v>0.60139349999371905</v>
      </c>
    </row>
    <row r="86" spans="1:4" x14ac:dyDescent="0.35">
      <c r="A86" t="s">
        <v>5</v>
      </c>
      <c r="B86">
        <v>1</v>
      </c>
      <c r="C86">
        <v>1</v>
      </c>
      <c r="D86">
        <v>0.55286430002888598</v>
      </c>
    </row>
    <row r="87" spans="1:4" x14ac:dyDescent="0.35">
      <c r="A87" t="s">
        <v>5</v>
      </c>
      <c r="B87">
        <v>1</v>
      </c>
      <c r="C87">
        <v>1</v>
      </c>
      <c r="D87">
        <v>0.634673400025349</v>
      </c>
    </row>
    <row r="88" spans="1:4" x14ac:dyDescent="0.35">
      <c r="A88" t="s">
        <v>5</v>
      </c>
      <c r="B88">
        <v>1</v>
      </c>
      <c r="C88">
        <v>1</v>
      </c>
      <c r="D88">
        <v>0.91880909999599603</v>
      </c>
    </row>
    <row r="89" spans="1:4" x14ac:dyDescent="0.35">
      <c r="A89" t="s">
        <v>5</v>
      </c>
      <c r="B89">
        <v>1</v>
      </c>
      <c r="C89">
        <v>1</v>
      </c>
      <c r="D89">
        <v>0.65141930000390802</v>
      </c>
    </row>
    <row r="90" spans="1:4" x14ac:dyDescent="0.35">
      <c r="A90" t="s">
        <v>5</v>
      </c>
      <c r="B90">
        <v>1</v>
      </c>
      <c r="C90">
        <v>1</v>
      </c>
      <c r="D90">
        <v>0.625104999984614</v>
      </c>
    </row>
    <row r="91" spans="1:4" x14ac:dyDescent="0.35">
      <c r="A91" t="s">
        <v>5</v>
      </c>
      <c r="B91">
        <v>1</v>
      </c>
      <c r="C91">
        <v>1</v>
      </c>
      <c r="D91">
        <v>0.59227790002478198</v>
      </c>
    </row>
    <row r="92" spans="1:4" x14ac:dyDescent="0.35">
      <c r="A92" t="s">
        <v>5</v>
      </c>
      <c r="B92">
        <v>1</v>
      </c>
      <c r="C92">
        <v>1</v>
      </c>
      <c r="D92">
        <v>0.46152939996682102</v>
      </c>
    </row>
    <row r="93" spans="1:4" x14ac:dyDescent="0.35">
      <c r="A93" t="s">
        <v>5</v>
      </c>
      <c r="B93">
        <v>1</v>
      </c>
      <c r="C93">
        <v>1</v>
      </c>
      <c r="D93">
        <v>0.475340100005269</v>
      </c>
    </row>
    <row r="94" spans="1:4" x14ac:dyDescent="0.35">
      <c r="A94" t="s">
        <v>5</v>
      </c>
      <c r="B94">
        <v>1</v>
      </c>
      <c r="C94">
        <v>1</v>
      </c>
      <c r="D94">
        <v>0.465305600024294</v>
      </c>
    </row>
    <row r="95" spans="1:4" x14ac:dyDescent="0.35">
      <c r="A95" t="s">
        <v>5</v>
      </c>
      <c r="B95">
        <v>1</v>
      </c>
      <c r="C95">
        <v>1</v>
      </c>
      <c r="D95">
        <v>0.53301389998523496</v>
      </c>
    </row>
    <row r="96" spans="1:4" x14ac:dyDescent="0.35">
      <c r="A96" t="s">
        <v>6</v>
      </c>
      <c r="B96">
        <v>0</v>
      </c>
      <c r="C96">
        <v>0</v>
      </c>
      <c r="D96">
        <v>1.6668816000455899</v>
      </c>
    </row>
    <row r="97" spans="1:4" x14ac:dyDescent="0.35">
      <c r="A97" t="s">
        <v>6</v>
      </c>
      <c r="B97">
        <v>0</v>
      </c>
      <c r="C97">
        <v>0</v>
      </c>
      <c r="D97">
        <v>0.34949789999518499</v>
      </c>
    </row>
    <row r="98" spans="1:4" x14ac:dyDescent="0.35">
      <c r="A98" t="s">
        <v>5</v>
      </c>
      <c r="B98">
        <v>0</v>
      </c>
      <c r="C98">
        <v>0</v>
      </c>
      <c r="D98">
        <v>0.31992460001492801</v>
      </c>
    </row>
    <row r="99" spans="1:4" x14ac:dyDescent="0.35">
      <c r="A99" t="s">
        <v>5</v>
      </c>
      <c r="B99">
        <v>0</v>
      </c>
      <c r="C99">
        <v>0</v>
      </c>
      <c r="D99">
        <v>0.32527259999187602</v>
      </c>
    </row>
    <row r="100" spans="1:4" x14ac:dyDescent="0.35">
      <c r="A100" t="s">
        <v>6</v>
      </c>
      <c r="B100">
        <v>0</v>
      </c>
      <c r="C100">
        <v>1</v>
      </c>
      <c r="D100">
        <v>0.51253870001528401</v>
      </c>
    </row>
    <row r="101" spans="1:4" x14ac:dyDescent="0.35">
      <c r="A101" t="s">
        <v>6</v>
      </c>
      <c r="B101">
        <v>0</v>
      </c>
      <c r="C101">
        <v>1</v>
      </c>
      <c r="D101">
        <v>0.58367369999177698</v>
      </c>
    </row>
  </sheetData>
  <autoFilter ref="A1:D1" xr:uid="{FFE69096-CCFE-48F2-925B-433F40174663}">
    <sortState xmlns:xlrd2="http://schemas.microsoft.com/office/spreadsheetml/2017/richdata2" ref="A2:D101">
      <sortCondition descending="1" ref="B1"/>
    </sortState>
  </autoFilter>
  <mergeCells count="2">
    <mergeCell ref="G1:I1"/>
    <mergeCell ref="L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FAAA-33AB-487D-98E9-5EFBAAEBD0FA}">
  <dimension ref="A1:N101"/>
  <sheetViews>
    <sheetView topLeftCell="C1" workbookViewId="0">
      <selection activeCell="I21" sqref="I21"/>
    </sheetView>
  </sheetViews>
  <sheetFormatPr defaultRowHeight="14.5" x14ac:dyDescent="0.35"/>
  <cols>
    <col min="1" max="1" width="6.54296875" bestFit="1" customWidth="1"/>
    <col min="2" max="2" width="6.6328125" bestFit="1" customWidth="1"/>
    <col min="3" max="3" width="9.26953125" bestFit="1" customWidth="1"/>
    <col min="4" max="4" width="20.453125" bestFit="1" customWidth="1"/>
    <col min="7" max="14" width="11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G1" s="8" t="s">
        <v>16</v>
      </c>
      <c r="H1" s="8"/>
      <c r="I1" s="8"/>
      <c r="L1" s="8" t="s">
        <v>17</v>
      </c>
      <c r="M1" s="8"/>
      <c r="N1" s="8"/>
    </row>
    <row r="2" spans="1:14" x14ac:dyDescent="0.35">
      <c r="A2" t="s">
        <v>6</v>
      </c>
      <c r="B2">
        <v>1</v>
      </c>
      <c r="C2">
        <v>0</v>
      </c>
      <c r="D2">
        <v>0.72698599996510804</v>
      </c>
      <c r="G2" s="1"/>
      <c r="H2" s="1" t="s">
        <v>13</v>
      </c>
      <c r="I2" s="1" t="s">
        <v>14</v>
      </c>
      <c r="L2" s="1"/>
      <c r="M2" s="1" t="s">
        <v>13</v>
      </c>
      <c r="N2" s="1" t="s">
        <v>14</v>
      </c>
    </row>
    <row r="3" spans="1:14" x14ac:dyDescent="0.35">
      <c r="A3" t="s">
        <v>6</v>
      </c>
      <c r="B3">
        <v>1</v>
      </c>
      <c r="C3">
        <v>0</v>
      </c>
      <c r="D3">
        <v>1.2408623000373999</v>
      </c>
      <c r="G3" s="1" t="s">
        <v>12</v>
      </c>
      <c r="H3" s="1">
        <f>23/25*100</f>
        <v>92</v>
      </c>
      <c r="I3" s="1">
        <f>22/25*100</f>
        <v>88</v>
      </c>
      <c r="L3" s="1" t="s">
        <v>12</v>
      </c>
      <c r="M3" s="1">
        <f>AVERAGE(D47:D69)</f>
        <v>0.47645663913420316</v>
      </c>
      <c r="N3" s="1">
        <f>AVERAGE(D2:D23)</f>
        <v>0.52467910453296107</v>
      </c>
    </row>
    <row r="4" spans="1:14" x14ac:dyDescent="0.35">
      <c r="A4" t="s">
        <v>6</v>
      </c>
      <c r="B4">
        <v>1</v>
      </c>
      <c r="C4">
        <v>0</v>
      </c>
      <c r="D4">
        <v>0.41030109999701297</v>
      </c>
      <c r="G4" s="1" t="s">
        <v>15</v>
      </c>
      <c r="H4" s="1">
        <f>21/25*100</f>
        <v>84</v>
      </c>
      <c r="I4" s="1">
        <f>23/25*100</f>
        <v>92</v>
      </c>
      <c r="L4" s="1" t="s">
        <v>15</v>
      </c>
      <c r="M4" s="1">
        <f>AVERAGE(D70:D90)</f>
        <v>0.46389743808789941</v>
      </c>
      <c r="N4" s="1">
        <f>AVERAGE(D24:D46)</f>
        <v>0.47726829130830134</v>
      </c>
    </row>
    <row r="5" spans="1:14" x14ac:dyDescent="0.35">
      <c r="A5" t="s">
        <v>6</v>
      </c>
      <c r="B5">
        <v>1</v>
      </c>
      <c r="C5">
        <v>0</v>
      </c>
      <c r="D5">
        <v>0.44229260005522503</v>
      </c>
      <c r="G5" s="1" t="s">
        <v>20</v>
      </c>
      <c r="H5" s="1">
        <f>AVERAGE(H3:H4)</f>
        <v>88</v>
      </c>
      <c r="I5" s="1">
        <f>AVERAGE(I3:I4)</f>
        <v>90</v>
      </c>
      <c r="L5" s="1" t="s">
        <v>20</v>
      </c>
      <c r="M5" s="1">
        <f>AVERAGE(M3:M4)</f>
        <v>0.47017703861105131</v>
      </c>
      <c r="N5" s="1">
        <f>AVERAGE(N3:N4)</f>
        <v>0.50097369792063118</v>
      </c>
    </row>
    <row r="6" spans="1:14" x14ac:dyDescent="0.35">
      <c r="A6" t="s">
        <v>6</v>
      </c>
      <c r="B6">
        <v>1</v>
      </c>
      <c r="C6">
        <v>0</v>
      </c>
      <c r="D6">
        <v>0.46363909996580299</v>
      </c>
    </row>
    <row r="7" spans="1:14" x14ac:dyDescent="0.35">
      <c r="A7" t="s">
        <v>6</v>
      </c>
      <c r="B7">
        <v>1</v>
      </c>
      <c r="C7">
        <v>0</v>
      </c>
      <c r="D7">
        <v>0.49481179995927899</v>
      </c>
    </row>
    <row r="8" spans="1:14" x14ac:dyDescent="0.35">
      <c r="A8" t="s">
        <v>6</v>
      </c>
      <c r="B8">
        <v>1</v>
      </c>
      <c r="C8">
        <v>0</v>
      </c>
      <c r="D8">
        <v>0.56328659993596297</v>
      </c>
    </row>
    <row r="9" spans="1:14" x14ac:dyDescent="0.35">
      <c r="A9" t="s">
        <v>6</v>
      </c>
      <c r="B9">
        <v>1</v>
      </c>
      <c r="C9">
        <v>0</v>
      </c>
      <c r="D9">
        <v>0.47178550006356001</v>
      </c>
    </row>
    <row r="10" spans="1:14" x14ac:dyDescent="0.35">
      <c r="A10" t="s">
        <v>6</v>
      </c>
      <c r="B10">
        <v>1</v>
      </c>
      <c r="C10">
        <v>0</v>
      </c>
      <c r="D10">
        <v>0.42372879991307799</v>
      </c>
    </row>
    <row r="11" spans="1:14" x14ac:dyDescent="0.35">
      <c r="A11" t="s">
        <v>6</v>
      </c>
      <c r="B11">
        <v>1</v>
      </c>
      <c r="C11">
        <v>0</v>
      </c>
      <c r="D11">
        <v>0.55828919995110404</v>
      </c>
    </row>
    <row r="12" spans="1:14" x14ac:dyDescent="0.35">
      <c r="A12" t="s">
        <v>6</v>
      </c>
      <c r="B12">
        <v>1</v>
      </c>
      <c r="C12">
        <v>0</v>
      </c>
      <c r="D12">
        <v>0.51397379999980297</v>
      </c>
    </row>
    <row r="13" spans="1:14" x14ac:dyDescent="0.35">
      <c r="A13" t="s">
        <v>6</v>
      </c>
      <c r="B13">
        <v>1</v>
      </c>
      <c r="C13">
        <v>0</v>
      </c>
      <c r="D13">
        <v>0.44430350000038699</v>
      </c>
    </row>
    <row r="14" spans="1:14" x14ac:dyDescent="0.35">
      <c r="A14" t="s">
        <v>6</v>
      </c>
      <c r="B14">
        <v>1</v>
      </c>
      <c r="C14">
        <v>0</v>
      </c>
      <c r="D14">
        <v>0.42932060000021</v>
      </c>
    </row>
    <row r="15" spans="1:14" x14ac:dyDescent="0.35">
      <c r="A15" t="s">
        <v>6</v>
      </c>
      <c r="B15">
        <v>1</v>
      </c>
      <c r="C15">
        <v>0</v>
      </c>
      <c r="D15">
        <v>0.47305379994213498</v>
      </c>
    </row>
    <row r="16" spans="1:14" x14ac:dyDescent="0.35">
      <c r="A16" t="s">
        <v>6</v>
      </c>
      <c r="B16">
        <v>1</v>
      </c>
      <c r="C16">
        <v>0</v>
      </c>
      <c r="D16">
        <v>0.68618660001084197</v>
      </c>
    </row>
    <row r="17" spans="1:4" x14ac:dyDescent="0.35">
      <c r="A17" t="s">
        <v>6</v>
      </c>
      <c r="B17">
        <v>1</v>
      </c>
      <c r="C17">
        <v>0</v>
      </c>
      <c r="D17">
        <v>0.46794449992012199</v>
      </c>
    </row>
    <row r="18" spans="1:4" x14ac:dyDescent="0.35">
      <c r="A18" t="s">
        <v>6</v>
      </c>
      <c r="B18">
        <v>1</v>
      </c>
      <c r="C18">
        <v>0</v>
      </c>
      <c r="D18">
        <v>0.44770849996711998</v>
      </c>
    </row>
    <row r="19" spans="1:4" x14ac:dyDescent="0.35">
      <c r="A19" t="s">
        <v>6</v>
      </c>
      <c r="B19">
        <v>1</v>
      </c>
      <c r="C19">
        <v>0</v>
      </c>
      <c r="D19">
        <v>0.39238040009513497</v>
      </c>
    </row>
    <row r="20" spans="1:4" x14ac:dyDescent="0.35">
      <c r="A20" t="s">
        <v>6</v>
      </c>
      <c r="B20">
        <v>1</v>
      </c>
      <c r="C20">
        <v>0</v>
      </c>
      <c r="D20">
        <v>0.36086139990948102</v>
      </c>
    </row>
    <row r="21" spans="1:4" x14ac:dyDescent="0.35">
      <c r="A21" t="s">
        <v>6</v>
      </c>
      <c r="B21">
        <v>1</v>
      </c>
      <c r="C21">
        <v>0</v>
      </c>
      <c r="D21">
        <v>0.48653240001294701</v>
      </c>
    </row>
    <row r="22" spans="1:4" x14ac:dyDescent="0.35">
      <c r="A22" t="s">
        <v>6</v>
      </c>
      <c r="B22">
        <v>1</v>
      </c>
      <c r="C22">
        <v>0</v>
      </c>
      <c r="D22">
        <v>0.47769099997822101</v>
      </c>
    </row>
    <row r="23" spans="1:4" x14ac:dyDescent="0.35">
      <c r="A23" t="s">
        <v>6</v>
      </c>
      <c r="B23">
        <v>1</v>
      </c>
      <c r="C23">
        <v>0</v>
      </c>
      <c r="D23">
        <v>0.56700080004520703</v>
      </c>
    </row>
    <row r="24" spans="1:4" x14ac:dyDescent="0.35">
      <c r="A24" t="s">
        <v>5</v>
      </c>
      <c r="B24">
        <v>1</v>
      </c>
      <c r="C24">
        <v>0</v>
      </c>
      <c r="D24">
        <v>0.45116469997446901</v>
      </c>
    </row>
    <row r="25" spans="1:4" x14ac:dyDescent="0.35">
      <c r="A25" t="s">
        <v>5</v>
      </c>
      <c r="B25">
        <v>1</v>
      </c>
      <c r="C25">
        <v>0</v>
      </c>
      <c r="D25">
        <v>0.43697430007159699</v>
      </c>
    </row>
    <row r="26" spans="1:4" x14ac:dyDescent="0.35">
      <c r="A26" t="s">
        <v>5</v>
      </c>
      <c r="B26">
        <v>1</v>
      </c>
      <c r="C26">
        <v>0</v>
      </c>
      <c r="D26">
        <v>0.43317960004787798</v>
      </c>
    </row>
    <row r="27" spans="1:4" x14ac:dyDescent="0.35">
      <c r="A27" t="s">
        <v>5</v>
      </c>
      <c r="B27">
        <v>1</v>
      </c>
      <c r="C27">
        <v>0</v>
      </c>
      <c r="D27">
        <v>0.33182049996685198</v>
      </c>
    </row>
    <row r="28" spans="1:4" x14ac:dyDescent="0.35">
      <c r="A28" t="s">
        <v>5</v>
      </c>
      <c r="B28">
        <v>1</v>
      </c>
      <c r="C28">
        <v>0</v>
      </c>
      <c r="D28">
        <v>0.53388360003009405</v>
      </c>
    </row>
    <row r="29" spans="1:4" x14ac:dyDescent="0.35">
      <c r="A29" t="s">
        <v>5</v>
      </c>
      <c r="B29">
        <v>1</v>
      </c>
      <c r="C29">
        <v>0</v>
      </c>
      <c r="D29">
        <v>0.54386760003399104</v>
      </c>
    </row>
    <row r="30" spans="1:4" x14ac:dyDescent="0.35">
      <c r="A30" t="s">
        <v>5</v>
      </c>
      <c r="B30">
        <v>1</v>
      </c>
      <c r="C30">
        <v>0</v>
      </c>
      <c r="D30">
        <v>0.72428900003433205</v>
      </c>
    </row>
    <row r="31" spans="1:4" x14ac:dyDescent="0.35">
      <c r="A31" t="s">
        <v>5</v>
      </c>
      <c r="B31">
        <v>1</v>
      </c>
      <c r="C31">
        <v>0</v>
      </c>
      <c r="D31">
        <v>0.436386100016534</v>
      </c>
    </row>
    <row r="32" spans="1:4" x14ac:dyDescent="0.35">
      <c r="A32" t="s">
        <v>5</v>
      </c>
      <c r="B32">
        <v>1</v>
      </c>
      <c r="C32">
        <v>0</v>
      </c>
      <c r="D32">
        <v>0.50726130011025805</v>
      </c>
    </row>
    <row r="33" spans="1:4" x14ac:dyDescent="0.35">
      <c r="A33" t="s">
        <v>5</v>
      </c>
      <c r="B33">
        <v>1</v>
      </c>
      <c r="C33">
        <v>0</v>
      </c>
      <c r="D33">
        <v>0.61078220000490502</v>
      </c>
    </row>
    <row r="34" spans="1:4" x14ac:dyDescent="0.35">
      <c r="A34" t="s">
        <v>5</v>
      </c>
      <c r="B34">
        <v>1</v>
      </c>
      <c r="C34">
        <v>0</v>
      </c>
      <c r="D34">
        <v>0.54267340002115805</v>
      </c>
    </row>
    <row r="35" spans="1:4" x14ac:dyDescent="0.35">
      <c r="A35" t="s">
        <v>5</v>
      </c>
      <c r="B35">
        <v>1</v>
      </c>
      <c r="C35">
        <v>0</v>
      </c>
      <c r="D35">
        <v>0.49723589990753603</v>
      </c>
    </row>
    <row r="36" spans="1:4" x14ac:dyDescent="0.35">
      <c r="A36" t="s">
        <v>5</v>
      </c>
      <c r="B36">
        <v>1</v>
      </c>
      <c r="C36">
        <v>0</v>
      </c>
      <c r="D36">
        <v>0.30313779995776702</v>
      </c>
    </row>
    <row r="37" spans="1:4" x14ac:dyDescent="0.35">
      <c r="A37" t="s">
        <v>5</v>
      </c>
      <c r="B37">
        <v>1</v>
      </c>
      <c r="C37">
        <v>0</v>
      </c>
      <c r="D37">
        <v>0.37197990005370202</v>
      </c>
    </row>
    <row r="38" spans="1:4" x14ac:dyDescent="0.35">
      <c r="A38" t="s">
        <v>5</v>
      </c>
      <c r="B38">
        <v>1</v>
      </c>
      <c r="C38">
        <v>0</v>
      </c>
      <c r="D38">
        <v>0.384108599973842</v>
      </c>
    </row>
    <row r="39" spans="1:4" x14ac:dyDescent="0.35">
      <c r="A39" t="s">
        <v>5</v>
      </c>
      <c r="B39">
        <v>1</v>
      </c>
      <c r="C39">
        <v>0</v>
      </c>
      <c r="D39">
        <v>0.53970379999373097</v>
      </c>
    </row>
    <row r="40" spans="1:4" x14ac:dyDescent="0.35">
      <c r="A40" t="s">
        <v>5</v>
      </c>
      <c r="B40">
        <v>1</v>
      </c>
      <c r="C40">
        <v>0</v>
      </c>
      <c r="D40">
        <v>0.50749470002483499</v>
      </c>
    </row>
    <row r="41" spans="1:4" x14ac:dyDescent="0.35">
      <c r="A41" t="s">
        <v>5</v>
      </c>
      <c r="B41">
        <v>1</v>
      </c>
      <c r="C41">
        <v>0</v>
      </c>
      <c r="D41">
        <v>0.45086989994160798</v>
      </c>
    </row>
    <row r="42" spans="1:4" x14ac:dyDescent="0.35">
      <c r="A42" t="s">
        <v>5</v>
      </c>
      <c r="B42">
        <v>1</v>
      </c>
      <c r="C42">
        <v>0</v>
      </c>
      <c r="D42">
        <v>0.48951089999172798</v>
      </c>
    </row>
    <row r="43" spans="1:4" x14ac:dyDescent="0.35">
      <c r="A43" t="s">
        <v>5</v>
      </c>
      <c r="B43">
        <v>1</v>
      </c>
      <c r="C43">
        <v>0</v>
      </c>
      <c r="D43">
        <v>0.40280150005128201</v>
      </c>
    </row>
    <row r="44" spans="1:4" x14ac:dyDescent="0.35">
      <c r="A44" t="s">
        <v>5</v>
      </c>
      <c r="B44">
        <v>1</v>
      </c>
      <c r="C44">
        <v>0</v>
      </c>
      <c r="D44">
        <v>0.39448559994343602</v>
      </c>
    </row>
    <row r="45" spans="1:4" x14ac:dyDescent="0.35">
      <c r="A45" t="s">
        <v>5</v>
      </c>
      <c r="B45">
        <v>1</v>
      </c>
      <c r="C45">
        <v>0</v>
      </c>
      <c r="D45">
        <v>0.53878499998245299</v>
      </c>
    </row>
    <row r="46" spans="1:4" x14ac:dyDescent="0.35">
      <c r="A46" t="s">
        <v>5</v>
      </c>
      <c r="B46">
        <v>1</v>
      </c>
      <c r="C46">
        <v>0</v>
      </c>
      <c r="D46">
        <v>0.54477479995694</v>
      </c>
    </row>
    <row r="47" spans="1:4" x14ac:dyDescent="0.35">
      <c r="A47" t="s">
        <v>6</v>
      </c>
      <c r="B47">
        <v>1</v>
      </c>
      <c r="C47">
        <v>1</v>
      </c>
      <c r="D47">
        <v>0.52254969999194101</v>
      </c>
    </row>
    <row r="48" spans="1:4" x14ac:dyDescent="0.35">
      <c r="A48" t="s">
        <v>6</v>
      </c>
      <c r="B48">
        <v>1</v>
      </c>
      <c r="C48">
        <v>1</v>
      </c>
      <c r="D48">
        <v>0.387998200021684</v>
      </c>
    </row>
    <row r="49" spans="1:4" x14ac:dyDescent="0.35">
      <c r="A49" t="s">
        <v>6</v>
      </c>
      <c r="B49">
        <v>1</v>
      </c>
      <c r="C49">
        <v>1</v>
      </c>
      <c r="D49">
        <v>0.39889130007941198</v>
      </c>
    </row>
    <row r="50" spans="1:4" x14ac:dyDescent="0.35">
      <c r="A50" t="s">
        <v>6</v>
      </c>
      <c r="B50">
        <v>1</v>
      </c>
      <c r="C50">
        <v>1</v>
      </c>
      <c r="D50">
        <v>0.36666699999477698</v>
      </c>
    </row>
    <row r="51" spans="1:4" x14ac:dyDescent="0.35">
      <c r="A51" t="s">
        <v>6</v>
      </c>
      <c r="B51">
        <v>1</v>
      </c>
      <c r="C51">
        <v>1</v>
      </c>
      <c r="D51">
        <v>0.42791760002728502</v>
      </c>
    </row>
    <row r="52" spans="1:4" x14ac:dyDescent="0.35">
      <c r="A52" t="s">
        <v>6</v>
      </c>
      <c r="B52">
        <v>1</v>
      </c>
      <c r="C52">
        <v>1</v>
      </c>
      <c r="D52">
        <v>0.54456289997324303</v>
      </c>
    </row>
    <row r="53" spans="1:4" x14ac:dyDescent="0.35">
      <c r="A53" t="s">
        <v>6</v>
      </c>
      <c r="B53">
        <v>1</v>
      </c>
      <c r="C53">
        <v>1</v>
      </c>
      <c r="D53">
        <v>0.48535450000781499</v>
      </c>
    </row>
    <row r="54" spans="1:4" x14ac:dyDescent="0.35">
      <c r="A54" t="s">
        <v>6</v>
      </c>
      <c r="B54">
        <v>1</v>
      </c>
      <c r="C54">
        <v>1</v>
      </c>
      <c r="D54">
        <v>0.46097120002377701</v>
      </c>
    </row>
    <row r="55" spans="1:4" x14ac:dyDescent="0.35">
      <c r="A55" t="s">
        <v>6</v>
      </c>
      <c r="B55">
        <v>1</v>
      </c>
      <c r="C55">
        <v>1</v>
      </c>
      <c r="D55">
        <v>0.45485380000900399</v>
      </c>
    </row>
    <row r="56" spans="1:4" x14ac:dyDescent="0.35">
      <c r="A56" t="s">
        <v>6</v>
      </c>
      <c r="B56">
        <v>1</v>
      </c>
      <c r="C56">
        <v>1</v>
      </c>
      <c r="D56">
        <v>0.33785999997053201</v>
      </c>
    </row>
    <row r="57" spans="1:4" x14ac:dyDescent="0.35">
      <c r="A57" t="s">
        <v>6</v>
      </c>
      <c r="B57">
        <v>1</v>
      </c>
      <c r="C57">
        <v>1</v>
      </c>
      <c r="D57">
        <v>0.49185820005368402</v>
      </c>
    </row>
    <row r="58" spans="1:4" x14ac:dyDescent="0.35">
      <c r="A58" t="s">
        <v>6</v>
      </c>
      <c r="B58">
        <v>1</v>
      </c>
      <c r="C58">
        <v>1</v>
      </c>
      <c r="D58">
        <v>0.43800189998000799</v>
      </c>
    </row>
    <row r="59" spans="1:4" x14ac:dyDescent="0.35">
      <c r="A59" t="s">
        <v>6</v>
      </c>
      <c r="B59">
        <v>1</v>
      </c>
      <c r="C59">
        <v>1</v>
      </c>
      <c r="D59">
        <v>0.52484119997825396</v>
      </c>
    </row>
    <row r="60" spans="1:4" x14ac:dyDescent="0.35">
      <c r="A60" t="s">
        <v>6</v>
      </c>
      <c r="B60">
        <v>1</v>
      </c>
      <c r="C60">
        <v>1</v>
      </c>
      <c r="D60">
        <v>0.42167189996689503</v>
      </c>
    </row>
    <row r="61" spans="1:4" x14ac:dyDescent="0.35">
      <c r="A61" t="s">
        <v>6</v>
      </c>
      <c r="B61">
        <v>1</v>
      </c>
      <c r="C61">
        <v>1</v>
      </c>
      <c r="D61">
        <v>0.43631440005265099</v>
      </c>
    </row>
    <row r="62" spans="1:4" x14ac:dyDescent="0.35">
      <c r="A62" t="s">
        <v>6</v>
      </c>
      <c r="B62">
        <v>1</v>
      </c>
      <c r="C62">
        <v>1</v>
      </c>
      <c r="D62">
        <v>0.65364750009030104</v>
      </c>
    </row>
    <row r="63" spans="1:4" x14ac:dyDescent="0.35">
      <c r="A63" t="s">
        <v>6</v>
      </c>
      <c r="B63">
        <v>1</v>
      </c>
      <c r="C63">
        <v>1</v>
      </c>
      <c r="D63">
        <v>0.80679150007199496</v>
      </c>
    </row>
    <row r="64" spans="1:4" x14ac:dyDescent="0.35">
      <c r="A64" t="s">
        <v>6</v>
      </c>
      <c r="B64">
        <v>1</v>
      </c>
      <c r="C64">
        <v>1</v>
      </c>
      <c r="D64">
        <v>0.49994179990608201</v>
      </c>
    </row>
    <row r="65" spans="1:4" x14ac:dyDescent="0.35">
      <c r="A65" t="s">
        <v>6</v>
      </c>
      <c r="B65">
        <v>1</v>
      </c>
      <c r="C65">
        <v>1</v>
      </c>
      <c r="D65">
        <v>0.43183409993071098</v>
      </c>
    </row>
    <row r="66" spans="1:4" x14ac:dyDescent="0.35">
      <c r="A66" t="s">
        <v>6</v>
      </c>
      <c r="B66">
        <v>1</v>
      </c>
      <c r="C66">
        <v>1</v>
      </c>
      <c r="D66">
        <v>0.402510199928656</v>
      </c>
    </row>
    <row r="67" spans="1:4" x14ac:dyDescent="0.35">
      <c r="A67" t="s">
        <v>6</v>
      </c>
      <c r="B67">
        <v>1</v>
      </c>
      <c r="C67">
        <v>1</v>
      </c>
      <c r="D67">
        <v>0.50089290004689202</v>
      </c>
    </row>
    <row r="68" spans="1:4" x14ac:dyDescent="0.35">
      <c r="A68" t="s">
        <v>6</v>
      </c>
      <c r="B68">
        <v>1</v>
      </c>
      <c r="C68">
        <v>1</v>
      </c>
      <c r="D68">
        <v>0.44936600001528798</v>
      </c>
    </row>
    <row r="69" spans="1:4" x14ac:dyDescent="0.35">
      <c r="A69" t="s">
        <v>6</v>
      </c>
      <c r="B69">
        <v>1</v>
      </c>
      <c r="C69">
        <v>1</v>
      </c>
      <c r="D69">
        <v>0.513204899965785</v>
      </c>
    </row>
    <row r="70" spans="1:4" x14ac:dyDescent="0.35">
      <c r="A70" t="s">
        <v>5</v>
      </c>
      <c r="B70">
        <v>1</v>
      </c>
      <c r="C70">
        <v>1</v>
      </c>
      <c r="D70">
        <v>0.54041130002588</v>
      </c>
    </row>
    <row r="71" spans="1:4" x14ac:dyDescent="0.35">
      <c r="A71" t="s">
        <v>5</v>
      </c>
      <c r="B71">
        <v>1</v>
      </c>
      <c r="C71">
        <v>1</v>
      </c>
      <c r="D71">
        <v>0.38532110000960501</v>
      </c>
    </row>
    <row r="72" spans="1:4" x14ac:dyDescent="0.35">
      <c r="A72" t="s">
        <v>5</v>
      </c>
      <c r="B72">
        <v>1</v>
      </c>
      <c r="C72">
        <v>1</v>
      </c>
      <c r="D72">
        <v>0.58651559997815605</v>
      </c>
    </row>
    <row r="73" spans="1:4" x14ac:dyDescent="0.35">
      <c r="A73" t="s">
        <v>5</v>
      </c>
      <c r="B73">
        <v>1</v>
      </c>
      <c r="C73">
        <v>1</v>
      </c>
      <c r="D73">
        <v>0.37704940000548898</v>
      </c>
    </row>
    <row r="74" spans="1:4" x14ac:dyDescent="0.35">
      <c r="A74" t="s">
        <v>5</v>
      </c>
      <c r="B74">
        <v>1</v>
      </c>
      <c r="C74">
        <v>1</v>
      </c>
      <c r="D74">
        <v>0.452808500034734</v>
      </c>
    </row>
    <row r="75" spans="1:4" x14ac:dyDescent="0.35">
      <c r="A75" t="s">
        <v>5</v>
      </c>
      <c r="B75">
        <v>1</v>
      </c>
      <c r="C75">
        <v>1</v>
      </c>
      <c r="D75">
        <v>0.42409800004679699</v>
      </c>
    </row>
    <row r="76" spans="1:4" x14ac:dyDescent="0.35">
      <c r="A76" t="s">
        <v>5</v>
      </c>
      <c r="B76">
        <v>1</v>
      </c>
      <c r="C76">
        <v>1</v>
      </c>
      <c r="D76">
        <v>0.50438840000424501</v>
      </c>
    </row>
    <row r="77" spans="1:4" x14ac:dyDescent="0.35">
      <c r="A77" t="s">
        <v>5</v>
      </c>
      <c r="B77">
        <v>1</v>
      </c>
      <c r="C77">
        <v>1</v>
      </c>
      <c r="D77">
        <v>0.54550939996261105</v>
      </c>
    </row>
    <row r="78" spans="1:4" x14ac:dyDescent="0.35">
      <c r="A78" t="s">
        <v>5</v>
      </c>
      <c r="B78">
        <v>1</v>
      </c>
      <c r="C78">
        <v>1</v>
      </c>
      <c r="D78">
        <v>0.39930170006118698</v>
      </c>
    </row>
    <row r="79" spans="1:4" x14ac:dyDescent="0.35">
      <c r="A79" t="s">
        <v>5</v>
      </c>
      <c r="B79">
        <v>1</v>
      </c>
      <c r="C79">
        <v>1</v>
      </c>
      <c r="D79">
        <v>0.58015940000768695</v>
      </c>
    </row>
    <row r="80" spans="1:4" x14ac:dyDescent="0.35">
      <c r="A80" t="s">
        <v>5</v>
      </c>
      <c r="B80">
        <v>1</v>
      </c>
      <c r="C80">
        <v>1</v>
      </c>
      <c r="D80">
        <v>0.412694599945098</v>
      </c>
    </row>
    <row r="81" spans="1:4" x14ac:dyDescent="0.35">
      <c r="A81" t="s">
        <v>5</v>
      </c>
      <c r="B81">
        <v>1</v>
      </c>
      <c r="C81">
        <v>1</v>
      </c>
      <c r="D81">
        <v>0.75413419993128605</v>
      </c>
    </row>
    <row r="82" spans="1:4" x14ac:dyDescent="0.35">
      <c r="A82" t="s">
        <v>5</v>
      </c>
      <c r="B82">
        <v>1</v>
      </c>
      <c r="C82">
        <v>1</v>
      </c>
      <c r="D82">
        <v>0.39023909997195</v>
      </c>
    </row>
    <row r="83" spans="1:4" x14ac:dyDescent="0.35">
      <c r="A83" t="s">
        <v>5</v>
      </c>
      <c r="B83">
        <v>1</v>
      </c>
      <c r="C83">
        <v>1</v>
      </c>
      <c r="D83">
        <v>0.43319700006395501</v>
      </c>
    </row>
    <row r="84" spans="1:4" x14ac:dyDescent="0.35">
      <c r="A84" t="s">
        <v>5</v>
      </c>
      <c r="B84">
        <v>1</v>
      </c>
      <c r="C84">
        <v>1</v>
      </c>
      <c r="D84">
        <v>0.50246089999563903</v>
      </c>
    </row>
    <row r="85" spans="1:4" x14ac:dyDescent="0.35">
      <c r="A85" t="s">
        <v>5</v>
      </c>
      <c r="B85">
        <v>1</v>
      </c>
      <c r="C85">
        <v>1</v>
      </c>
      <c r="D85">
        <v>0.32460739999078198</v>
      </c>
    </row>
    <row r="86" spans="1:4" x14ac:dyDescent="0.35">
      <c r="A86" t="s">
        <v>5</v>
      </c>
      <c r="B86">
        <v>1</v>
      </c>
      <c r="C86">
        <v>1</v>
      </c>
      <c r="D86">
        <v>0.405631499947048</v>
      </c>
    </row>
    <row r="87" spans="1:4" x14ac:dyDescent="0.35">
      <c r="A87" t="s">
        <v>5</v>
      </c>
      <c r="B87">
        <v>1</v>
      </c>
      <c r="C87">
        <v>1</v>
      </c>
      <c r="D87">
        <v>0.42926769994664898</v>
      </c>
    </row>
    <row r="88" spans="1:4" x14ac:dyDescent="0.35">
      <c r="A88" t="s">
        <v>5</v>
      </c>
      <c r="B88">
        <v>1</v>
      </c>
      <c r="C88">
        <v>1</v>
      </c>
      <c r="D88">
        <v>0.42626610002480397</v>
      </c>
    </row>
    <row r="89" spans="1:4" x14ac:dyDescent="0.35">
      <c r="A89" t="s">
        <v>5</v>
      </c>
      <c r="B89">
        <v>1</v>
      </c>
      <c r="C89">
        <v>1</v>
      </c>
      <c r="D89">
        <v>0.39378149993717598</v>
      </c>
    </row>
    <row r="90" spans="1:4" x14ac:dyDescent="0.35">
      <c r="A90" t="s">
        <v>5</v>
      </c>
      <c r="B90">
        <v>1</v>
      </c>
      <c r="C90">
        <v>1</v>
      </c>
      <c r="D90">
        <v>0.47400339995510798</v>
      </c>
    </row>
    <row r="91" spans="1:4" x14ac:dyDescent="0.35">
      <c r="A91" t="s">
        <v>6</v>
      </c>
      <c r="B91">
        <v>0</v>
      </c>
      <c r="C91">
        <v>0</v>
      </c>
      <c r="D91">
        <v>0.361177599988877</v>
      </c>
    </row>
    <row r="92" spans="1:4" x14ac:dyDescent="0.35">
      <c r="A92" t="s">
        <v>6</v>
      </c>
      <c r="B92">
        <v>0</v>
      </c>
      <c r="C92">
        <v>0</v>
      </c>
      <c r="D92">
        <v>0.42328109999652902</v>
      </c>
    </row>
    <row r="93" spans="1:4" x14ac:dyDescent="0.35">
      <c r="A93" t="s">
        <v>6</v>
      </c>
      <c r="B93">
        <v>0</v>
      </c>
      <c r="C93">
        <v>0</v>
      </c>
      <c r="D93">
        <v>0.35158060002140701</v>
      </c>
    </row>
    <row r="94" spans="1:4" x14ac:dyDescent="0.35">
      <c r="A94" t="s">
        <v>5</v>
      </c>
      <c r="B94">
        <v>0</v>
      </c>
      <c r="C94">
        <v>0</v>
      </c>
      <c r="D94">
        <v>0.37632609996944599</v>
      </c>
    </row>
    <row r="95" spans="1:4" x14ac:dyDescent="0.35">
      <c r="A95" t="s">
        <v>5</v>
      </c>
      <c r="B95">
        <v>0</v>
      </c>
      <c r="C95">
        <v>0</v>
      </c>
      <c r="D95">
        <v>0.444309500046074</v>
      </c>
    </row>
    <row r="96" spans="1:4" x14ac:dyDescent="0.35">
      <c r="A96" t="s">
        <v>6</v>
      </c>
      <c r="B96">
        <v>0</v>
      </c>
      <c r="C96">
        <v>1</v>
      </c>
      <c r="D96">
        <v>0.375116400071419</v>
      </c>
    </row>
    <row r="97" spans="1:4" x14ac:dyDescent="0.35">
      <c r="A97" t="s">
        <v>6</v>
      </c>
      <c r="B97">
        <v>0</v>
      </c>
      <c r="C97">
        <v>1</v>
      </c>
      <c r="D97">
        <v>0.40930879989173202</v>
      </c>
    </row>
    <row r="98" spans="1:4" x14ac:dyDescent="0.35">
      <c r="A98" t="s">
        <v>5</v>
      </c>
      <c r="B98">
        <v>0</v>
      </c>
      <c r="C98">
        <v>1</v>
      </c>
      <c r="D98">
        <v>0.50519280007574696</v>
      </c>
    </row>
    <row r="99" spans="1:4" x14ac:dyDescent="0.35">
      <c r="A99" t="s">
        <v>5</v>
      </c>
      <c r="B99">
        <v>0</v>
      </c>
      <c r="C99">
        <v>1</v>
      </c>
      <c r="D99">
        <v>0.39746699994429902</v>
      </c>
    </row>
    <row r="100" spans="1:4" x14ac:dyDescent="0.35">
      <c r="A100" t="s">
        <v>5</v>
      </c>
      <c r="B100">
        <v>0</v>
      </c>
      <c r="C100">
        <v>1</v>
      </c>
      <c r="D100">
        <v>0.46396690001711199</v>
      </c>
    </row>
    <row r="101" spans="1:4" x14ac:dyDescent="0.35">
      <c r="A101" t="s">
        <v>5</v>
      </c>
      <c r="B101">
        <v>0</v>
      </c>
      <c r="C101">
        <v>1</v>
      </c>
      <c r="D101">
        <v>0.42365750006865699</v>
      </c>
    </row>
  </sheetData>
  <autoFilter ref="A1:D1" xr:uid="{F306FAAA-33AB-487D-98E9-5EFBAAEBD0FA}">
    <sortState xmlns:xlrd2="http://schemas.microsoft.com/office/spreadsheetml/2017/richdata2" ref="A2:D101">
      <sortCondition descending="1" ref="B1"/>
    </sortState>
  </autoFilter>
  <mergeCells count="2">
    <mergeCell ref="G1:I1"/>
    <mergeCell ref="L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ED34-79B5-4151-9681-5EC65FA27DDB}">
  <dimension ref="A1:N101"/>
  <sheetViews>
    <sheetView topLeftCell="A58" zoomScale="105" workbookViewId="0">
      <selection activeCell="D7" sqref="D7"/>
    </sheetView>
  </sheetViews>
  <sheetFormatPr defaultRowHeight="14.5" x14ac:dyDescent="0.35"/>
  <cols>
    <col min="1" max="1" width="6.54296875" bestFit="1" customWidth="1"/>
    <col min="2" max="2" width="6.6328125" bestFit="1" customWidth="1"/>
    <col min="3" max="3" width="9.26953125" bestFit="1" customWidth="1"/>
    <col min="4" max="4" width="20.453125" bestFit="1" customWidth="1"/>
    <col min="7" max="7" width="7.54296875" bestFit="1" customWidth="1"/>
    <col min="8" max="8" width="9.54296875" bestFit="1" customWidth="1"/>
    <col min="9" max="9" width="10.90625" bestFit="1" customWidth="1"/>
    <col min="12" max="12" width="7.54296875" bestFit="1" customWidth="1"/>
    <col min="13" max="13" width="11.1796875" bestFit="1" customWidth="1"/>
    <col min="14" max="14" width="12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G1" s="8" t="s">
        <v>16</v>
      </c>
      <c r="H1" s="8"/>
      <c r="I1" s="8"/>
      <c r="L1" s="8" t="s">
        <v>17</v>
      </c>
      <c r="M1" s="8"/>
      <c r="N1" s="8"/>
    </row>
    <row r="2" spans="1:14" x14ac:dyDescent="0.35">
      <c r="A2" t="s">
        <v>6</v>
      </c>
      <c r="B2">
        <v>1</v>
      </c>
      <c r="C2">
        <v>0</v>
      </c>
      <c r="D2">
        <v>0.96415730006992795</v>
      </c>
      <c r="G2" s="1"/>
      <c r="H2" s="1" t="s">
        <v>13</v>
      </c>
      <c r="I2" s="1" t="s">
        <v>14</v>
      </c>
      <c r="L2" s="1"/>
      <c r="M2" s="1" t="s">
        <v>13</v>
      </c>
      <c r="N2" s="1" t="s">
        <v>14</v>
      </c>
    </row>
    <row r="3" spans="1:14" x14ac:dyDescent="0.35">
      <c r="A3" t="s">
        <v>6</v>
      </c>
      <c r="B3">
        <v>1</v>
      </c>
      <c r="C3">
        <v>0</v>
      </c>
      <c r="D3">
        <v>0.62854040006641299</v>
      </c>
      <c r="G3" s="1" t="s">
        <v>12</v>
      </c>
      <c r="H3" s="1">
        <f>25/25*100</f>
        <v>100</v>
      </c>
      <c r="I3" s="1">
        <f>23/25*100</f>
        <v>92</v>
      </c>
      <c r="L3" s="1" t="s">
        <v>12</v>
      </c>
      <c r="M3" s="1">
        <f>AVERAGE(D49:D73)</f>
        <v>0.61643444000277614</v>
      </c>
      <c r="N3" s="1">
        <f>AVERAGE(D2:D24)</f>
        <v>0.64348767391081974</v>
      </c>
    </row>
    <row r="4" spans="1:14" x14ac:dyDescent="0.35">
      <c r="A4" t="s">
        <v>6</v>
      </c>
      <c r="B4">
        <v>1</v>
      </c>
      <c r="C4">
        <v>0</v>
      </c>
      <c r="D4">
        <v>1.0835536000085899</v>
      </c>
      <c r="G4" s="1" t="s">
        <v>15</v>
      </c>
      <c r="H4" s="1">
        <f>23/25*100</f>
        <v>92</v>
      </c>
      <c r="I4" s="1">
        <f>24/25*100</f>
        <v>96</v>
      </c>
      <c r="L4" s="1" t="s">
        <v>15</v>
      </c>
      <c r="M4" s="1">
        <f>AVERAGE(D74:D96)</f>
        <v>0.61416689999927887</v>
      </c>
      <c r="N4" s="1">
        <f>AVERAGE(D25:D48)</f>
        <v>0.58283729582520472</v>
      </c>
    </row>
    <row r="5" spans="1:14" x14ac:dyDescent="0.35">
      <c r="A5" t="s">
        <v>6</v>
      </c>
      <c r="B5">
        <v>1</v>
      </c>
      <c r="C5">
        <v>0</v>
      </c>
      <c r="D5">
        <v>0.591851300094276</v>
      </c>
      <c r="G5" s="1" t="s">
        <v>20</v>
      </c>
      <c r="H5" s="1">
        <f>AVERAGE(H3:H4)</f>
        <v>96</v>
      </c>
      <c r="I5" s="1">
        <f>AVERAGE(I3:I4)</f>
        <v>94</v>
      </c>
      <c r="L5" t="s">
        <v>20</v>
      </c>
      <c r="M5">
        <f>AVERAGE(M3:M4)</f>
        <v>0.61530067000102751</v>
      </c>
      <c r="N5">
        <f>AVERAGE(N3:N4)</f>
        <v>0.61316248486801217</v>
      </c>
    </row>
    <row r="6" spans="1:14" x14ac:dyDescent="0.35">
      <c r="A6" t="s">
        <v>6</v>
      </c>
      <c r="B6">
        <v>1</v>
      </c>
      <c r="C6">
        <v>0</v>
      </c>
      <c r="D6">
        <v>0.60717439989093602</v>
      </c>
    </row>
    <row r="7" spans="1:14" x14ac:dyDescent="0.35">
      <c r="A7" t="s">
        <v>6</v>
      </c>
      <c r="B7">
        <v>1</v>
      </c>
      <c r="C7">
        <v>0</v>
      </c>
      <c r="D7">
        <v>0.62915000005159505</v>
      </c>
    </row>
    <row r="8" spans="1:14" x14ac:dyDescent="0.35">
      <c r="A8" t="s">
        <v>6</v>
      </c>
      <c r="B8">
        <v>1</v>
      </c>
      <c r="C8">
        <v>0</v>
      </c>
      <c r="D8">
        <v>0.497481299913488</v>
      </c>
    </row>
    <row r="9" spans="1:14" x14ac:dyDescent="0.35">
      <c r="A9" t="s">
        <v>6</v>
      </c>
      <c r="B9">
        <v>1</v>
      </c>
      <c r="C9">
        <v>0</v>
      </c>
      <c r="D9">
        <v>0.55681149999145396</v>
      </c>
    </row>
    <row r="10" spans="1:14" x14ac:dyDescent="0.35">
      <c r="A10" t="s">
        <v>6</v>
      </c>
      <c r="B10">
        <v>1</v>
      </c>
      <c r="C10">
        <v>0</v>
      </c>
      <c r="D10">
        <v>0.627554300008341</v>
      </c>
    </row>
    <row r="11" spans="1:14" x14ac:dyDescent="0.35">
      <c r="A11" t="s">
        <v>6</v>
      </c>
      <c r="B11">
        <v>1</v>
      </c>
      <c r="C11">
        <v>0</v>
      </c>
      <c r="D11">
        <v>0.523896099999547</v>
      </c>
    </row>
    <row r="12" spans="1:14" x14ac:dyDescent="0.35">
      <c r="A12" t="s">
        <v>6</v>
      </c>
      <c r="B12">
        <v>1</v>
      </c>
      <c r="C12">
        <v>0</v>
      </c>
      <c r="D12">
        <v>1.1051212999736799</v>
      </c>
    </row>
    <row r="13" spans="1:14" x14ac:dyDescent="0.35">
      <c r="A13" t="s">
        <v>6</v>
      </c>
      <c r="B13">
        <v>1</v>
      </c>
      <c r="C13">
        <v>0</v>
      </c>
      <c r="D13">
        <v>0.55996719992253896</v>
      </c>
    </row>
    <row r="14" spans="1:14" x14ac:dyDescent="0.35">
      <c r="A14" t="s">
        <v>6</v>
      </c>
      <c r="B14">
        <v>1</v>
      </c>
      <c r="C14">
        <v>0</v>
      </c>
      <c r="D14">
        <v>0.55535979999694896</v>
      </c>
    </row>
    <row r="15" spans="1:14" x14ac:dyDescent="0.35">
      <c r="A15" t="s">
        <v>6</v>
      </c>
      <c r="B15">
        <v>1</v>
      </c>
      <c r="C15">
        <v>0</v>
      </c>
      <c r="D15">
        <v>0.51322989992331702</v>
      </c>
    </row>
    <row r="16" spans="1:14" x14ac:dyDescent="0.35">
      <c r="A16" t="s">
        <v>6</v>
      </c>
      <c r="B16">
        <v>1</v>
      </c>
      <c r="C16">
        <v>0</v>
      </c>
      <c r="D16">
        <v>0.63031510007567704</v>
      </c>
    </row>
    <row r="17" spans="1:4" x14ac:dyDescent="0.35">
      <c r="A17" t="s">
        <v>6</v>
      </c>
      <c r="B17">
        <v>1</v>
      </c>
      <c r="C17">
        <v>0</v>
      </c>
      <c r="D17">
        <v>0.80461720004677695</v>
      </c>
    </row>
    <row r="18" spans="1:4" x14ac:dyDescent="0.35">
      <c r="A18" t="s">
        <v>6</v>
      </c>
      <c r="B18">
        <v>1</v>
      </c>
      <c r="C18">
        <v>0</v>
      </c>
      <c r="D18">
        <v>0.57589879992883597</v>
      </c>
    </row>
    <row r="19" spans="1:4" x14ac:dyDescent="0.35">
      <c r="A19" t="s">
        <v>6</v>
      </c>
      <c r="B19">
        <v>1</v>
      </c>
      <c r="C19">
        <v>0</v>
      </c>
      <c r="D19">
        <v>0.60059669998008702</v>
      </c>
    </row>
    <row r="20" spans="1:4" x14ac:dyDescent="0.35">
      <c r="A20" t="s">
        <v>6</v>
      </c>
      <c r="B20">
        <v>1</v>
      </c>
      <c r="C20">
        <v>0</v>
      </c>
      <c r="D20">
        <v>0.55149720003828395</v>
      </c>
    </row>
    <row r="21" spans="1:4" x14ac:dyDescent="0.35">
      <c r="A21" t="s">
        <v>6</v>
      </c>
      <c r="B21">
        <v>1</v>
      </c>
      <c r="C21">
        <v>0</v>
      </c>
      <c r="D21">
        <v>0.63138339994475201</v>
      </c>
    </row>
    <row r="22" spans="1:4" x14ac:dyDescent="0.35">
      <c r="A22" t="s">
        <v>6</v>
      </c>
      <c r="B22">
        <v>1</v>
      </c>
      <c r="C22">
        <v>0</v>
      </c>
      <c r="D22">
        <v>0.56169140001293205</v>
      </c>
    </row>
    <row r="23" spans="1:4" x14ac:dyDescent="0.35">
      <c r="A23" t="s">
        <v>6</v>
      </c>
      <c r="B23">
        <v>1</v>
      </c>
      <c r="C23">
        <v>0</v>
      </c>
      <c r="D23">
        <v>0.51958050008397505</v>
      </c>
    </row>
    <row r="24" spans="1:4" x14ac:dyDescent="0.35">
      <c r="A24" t="s">
        <v>6</v>
      </c>
      <c r="B24">
        <v>1</v>
      </c>
      <c r="C24">
        <v>0</v>
      </c>
      <c r="D24">
        <v>0.48078779992647402</v>
      </c>
    </row>
    <row r="25" spans="1:4" x14ac:dyDescent="0.35">
      <c r="A25" t="s">
        <v>5</v>
      </c>
      <c r="B25">
        <v>1</v>
      </c>
      <c r="C25">
        <v>0</v>
      </c>
      <c r="D25">
        <v>0.49253789999056602</v>
      </c>
    </row>
    <row r="26" spans="1:4" x14ac:dyDescent="0.35">
      <c r="A26" t="s">
        <v>5</v>
      </c>
      <c r="B26">
        <v>1</v>
      </c>
      <c r="C26">
        <v>0</v>
      </c>
      <c r="D26">
        <v>0.49635859997942999</v>
      </c>
    </row>
    <row r="27" spans="1:4" x14ac:dyDescent="0.35">
      <c r="A27" t="s">
        <v>5</v>
      </c>
      <c r="B27">
        <v>1</v>
      </c>
      <c r="C27">
        <v>0</v>
      </c>
      <c r="D27">
        <v>0.59138909995090205</v>
      </c>
    </row>
    <row r="28" spans="1:4" x14ac:dyDescent="0.35">
      <c r="A28" t="s">
        <v>5</v>
      </c>
      <c r="B28">
        <v>1</v>
      </c>
      <c r="C28">
        <v>0</v>
      </c>
      <c r="D28">
        <v>0.65270259999669999</v>
      </c>
    </row>
    <row r="29" spans="1:4" x14ac:dyDescent="0.35">
      <c r="A29" t="s">
        <v>5</v>
      </c>
      <c r="B29">
        <v>1</v>
      </c>
      <c r="C29">
        <v>0</v>
      </c>
      <c r="D29">
        <v>0.50829060003161397</v>
      </c>
    </row>
    <row r="30" spans="1:4" x14ac:dyDescent="0.35">
      <c r="A30" t="s">
        <v>5</v>
      </c>
      <c r="B30">
        <v>1</v>
      </c>
      <c r="C30">
        <v>0</v>
      </c>
      <c r="D30">
        <v>0.50791309995111</v>
      </c>
    </row>
    <row r="31" spans="1:4" x14ac:dyDescent="0.35">
      <c r="A31" t="s">
        <v>5</v>
      </c>
      <c r="B31">
        <v>1</v>
      </c>
      <c r="C31">
        <v>0</v>
      </c>
      <c r="D31">
        <v>0.55443969997577303</v>
      </c>
    </row>
    <row r="32" spans="1:4" x14ac:dyDescent="0.35">
      <c r="A32" t="s">
        <v>5</v>
      </c>
      <c r="B32">
        <v>1</v>
      </c>
      <c r="C32">
        <v>0</v>
      </c>
      <c r="D32">
        <v>0.54342869995161802</v>
      </c>
    </row>
    <row r="33" spans="1:4" x14ac:dyDescent="0.35">
      <c r="A33" t="s">
        <v>5</v>
      </c>
      <c r="B33">
        <v>1</v>
      </c>
      <c r="C33">
        <v>0</v>
      </c>
      <c r="D33">
        <v>0.50755630002822705</v>
      </c>
    </row>
    <row r="34" spans="1:4" x14ac:dyDescent="0.35">
      <c r="A34" t="s">
        <v>5</v>
      </c>
      <c r="B34">
        <v>1</v>
      </c>
      <c r="C34">
        <v>0</v>
      </c>
      <c r="D34">
        <v>0.524926899932324</v>
      </c>
    </row>
    <row r="35" spans="1:4" x14ac:dyDescent="0.35">
      <c r="A35" t="s">
        <v>5</v>
      </c>
      <c r="B35">
        <v>1</v>
      </c>
      <c r="C35">
        <v>0</v>
      </c>
      <c r="D35">
        <v>0.478189499932341</v>
      </c>
    </row>
    <row r="36" spans="1:4" x14ac:dyDescent="0.35">
      <c r="A36" t="s">
        <v>5</v>
      </c>
      <c r="B36">
        <v>1</v>
      </c>
      <c r="C36">
        <v>0</v>
      </c>
      <c r="D36">
        <v>0.51105149998329502</v>
      </c>
    </row>
    <row r="37" spans="1:4" x14ac:dyDescent="0.35">
      <c r="A37" t="s">
        <v>5</v>
      </c>
      <c r="B37">
        <v>1</v>
      </c>
      <c r="C37">
        <v>0</v>
      </c>
      <c r="D37">
        <v>0.50018950004596197</v>
      </c>
    </row>
    <row r="38" spans="1:4" x14ac:dyDescent="0.35">
      <c r="A38" t="s">
        <v>5</v>
      </c>
      <c r="B38">
        <v>1</v>
      </c>
      <c r="C38">
        <v>0</v>
      </c>
      <c r="D38">
        <v>0.65400929993484103</v>
      </c>
    </row>
    <row r="39" spans="1:4" x14ac:dyDescent="0.35">
      <c r="A39" t="s">
        <v>5</v>
      </c>
      <c r="B39">
        <v>1</v>
      </c>
      <c r="C39">
        <v>0</v>
      </c>
      <c r="D39">
        <v>0.58895339991431594</v>
      </c>
    </row>
    <row r="40" spans="1:4" x14ac:dyDescent="0.35">
      <c r="A40" t="s">
        <v>5</v>
      </c>
      <c r="B40">
        <v>1</v>
      </c>
      <c r="C40">
        <v>0</v>
      </c>
      <c r="D40">
        <v>0.45587740000337301</v>
      </c>
    </row>
    <row r="41" spans="1:4" x14ac:dyDescent="0.35">
      <c r="A41" t="s">
        <v>5</v>
      </c>
      <c r="B41">
        <v>1</v>
      </c>
      <c r="C41">
        <v>0</v>
      </c>
      <c r="D41">
        <v>0.68076270003802997</v>
      </c>
    </row>
    <row r="42" spans="1:4" x14ac:dyDescent="0.35">
      <c r="A42" t="s">
        <v>5</v>
      </c>
      <c r="B42">
        <v>1</v>
      </c>
      <c r="C42">
        <v>0</v>
      </c>
      <c r="D42">
        <v>0.49193439993541599</v>
      </c>
    </row>
    <row r="43" spans="1:4" x14ac:dyDescent="0.35">
      <c r="A43" t="s">
        <v>5</v>
      </c>
      <c r="B43">
        <v>1</v>
      </c>
      <c r="C43">
        <v>0</v>
      </c>
      <c r="D43">
        <v>0.532140200026333</v>
      </c>
    </row>
    <row r="44" spans="1:4" x14ac:dyDescent="0.35">
      <c r="A44" t="s">
        <v>5</v>
      </c>
      <c r="B44">
        <v>1</v>
      </c>
      <c r="C44">
        <v>0</v>
      </c>
      <c r="D44">
        <v>0.94051119999494404</v>
      </c>
    </row>
    <row r="45" spans="1:4" x14ac:dyDescent="0.35">
      <c r="A45" t="s">
        <v>5</v>
      </c>
      <c r="B45">
        <v>1</v>
      </c>
      <c r="C45">
        <v>0</v>
      </c>
      <c r="D45">
        <v>1.0152198000578201</v>
      </c>
    </row>
    <row r="46" spans="1:4" x14ac:dyDescent="0.35">
      <c r="A46" t="s">
        <v>5</v>
      </c>
      <c r="B46">
        <v>1</v>
      </c>
      <c r="C46">
        <v>0</v>
      </c>
      <c r="D46">
        <v>0.55553680006414596</v>
      </c>
    </row>
    <row r="47" spans="1:4" x14ac:dyDescent="0.35">
      <c r="A47" t="s">
        <v>5</v>
      </c>
      <c r="B47">
        <v>1</v>
      </c>
      <c r="C47">
        <v>0</v>
      </c>
      <c r="D47">
        <v>0.54526970000006203</v>
      </c>
    </row>
    <row r="48" spans="1:4" x14ac:dyDescent="0.35">
      <c r="A48" t="s">
        <v>5</v>
      </c>
      <c r="B48">
        <v>1</v>
      </c>
      <c r="C48">
        <v>0</v>
      </c>
      <c r="D48">
        <v>0.65890620008576595</v>
      </c>
    </row>
    <row r="49" spans="1:4" x14ac:dyDescent="0.35">
      <c r="A49" t="s">
        <v>6</v>
      </c>
      <c r="B49">
        <v>1</v>
      </c>
      <c r="C49">
        <v>1</v>
      </c>
      <c r="D49">
        <v>0.51655629999004304</v>
      </c>
    </row>
    <row r="50" spans="1:4" x14ac:dyDescent="0.35">
      <c r="A50" t="s">
        <v>6</v>
      </c>
      <c r="B50">
        <v>1</v>
      </c>
      <c r="C50">
        <v>1</v>
      </c>
      <c r="D50">
        <v>0.50888939993455995</v>
      </c>
    </row>
    <row r="51" spans="1:4" x14ac:dyDescent="0.35">
      <c r="A51" t="s">
        <v>6</v>
      </c>
      <c r="B51">
        <v>1</v>
      </c>
      <c r="C51">
        <v>1</v>
      </c>
      <c r="D51">
        <v>0.546872699982486</v>
      </c>
    </row>
    <row r="52" spans="1:4" x14ac:dyDescent="0.35">
      <c r="A52" t="s">
        <v>6</v>
      </c>
      <c r="B52">
        <v>1</v>
      </c>
      <c r="C52">
        <v>1</v>
      </c>
      <c r="D52">
        <v>0.43873479997273501</v>
      </c>
    </row>
    <row r="53" spans="1:4" x14ac:dyDescent="0.35">
      <c r="A53" t="s">
        <v>6</v>
      </c>
      <c r="B53">
        <v>1</v>
      </c>
      <c r="C53">
        <v>1</v>
      </c>
      <c r="D53">
        <v>0.66323419997934197</v>
      </c>
    </row>
    <row r="54" spans="1:4" x14ac:dyDescent="0.35">
      <c r="A54" t="s">
        <v>6</v>
      </c>
      <c r="B54">
        <v>1</v>
      </c>
      <c r="C54">
        <v>1</v>
      </c>
      <c r="D54">
        <v>0.627133800066076</v>
      </c>
    </row>
    <row r="55" spans="1:4" x14ac:dyDescent="0.35">
      <c r="A55" t="s">
        <v>6</v>
      </c>
      <c r="B55">
        <v>1</v>
      </c>
      <c r="C55">
        <v>1</v>
      </c>
      <c r="D55">
        <v>0.59272620000410803</v>
      </c>
    </row>
    <row r="56" spans="1:4" x14ac:dyDescent="0.35">
      <c r="A56" t="s">
        <v>6</v>
      </c>
      <c r="B56">
        <v>1</v>
      </c>
      <c r="C56">
        <v>1</v>
      </c>
      <c r="D56">
        <v>0.54439379996620096</v>
      </c>
    </row>
    <row r="57" spans="1:4" x14ac:dyDescent="0.35">
      <c r="A57" t="s">
        <v>6</v>
      </c>
      <c r="B57">
        <v>1</v>
      </c>
      <c r="C57">
        <v>1</v>
      </c>
      <c r="D57">
        <v>0.76574189995881103</v>
      </c>
    </row>
    <row r="58" spans="1:4" x14ac:dyDescent="0.35">
      <c r="A58" t="s">
        <v>6</v>
      </c>
      <c r="B58">
        <v>1</v>
      </c>
      <c r="C58">
        <v>1</v>
      </c>
      <c r="D58">
        <v>0.98537130001932305</v>
      </c>
    </row>
    <row r="59" spans="1:4" x14ac:dyDescent="0.35">
      <c r="A59" t="s">
        <v>6</v>
      </c>
      <c r="B59">
        <v>1</v>
      </c>
      <c r="C59">
        <v>1</v>
      </c>
      <c r="D59">
        <v>0.46899249998386899</v>
      </c>
    </row>
    <row r="60" spans="1:4" x14ac:dyDescent="0.35">
      <c r="A60" t="s">
        <v>6</v>
      </c>
      <c r="B60">
        <v>1</v>
      </c>
      <c r="C60">
        <v>1</v>
      </c>
      <c r="D60">
        <v>0.58527569996658702</v>
      </c>
    </row>
    <row r="61" spans="1:4" x14ac:dyDescent="0.35">
      <c r="A61" t="s">
        <v>6</v>
      </c>
      <c r="B61">
        <v>1</v>
      </c>
      <c r="C61">
        <v>1</v>
      </c>
      <c r="D61">
        <v>0.51638519996777099</v>
      </c>
    </row>
    <row r="62" spans="1:4" x14ac:dyDescent="0.35">
      <c r="A62" t="s">
        <v>6</v>
      </c>
      <c r="B62">
        <v>1</v>
      </c>
      <c r="C62">
        <v>1</v>
      </c>
      <c r="D62">
        <v>0.63368369999807295</v>
      </c>
    </row>
    <row r="63" spans="1:4" x14ac:dyDescent="0.35">
      <c r="A63" t="s">
        <v>6</v>
      </c>
      <c r="B63">
        <v>1</v>
      </c>
      <c r="C63">
        <v>1</v>
      </c>
      <c r="D63">
        <v>1.12460870004724</v>
      </c>
    </row>
    <row r="64" spans="1:4" x14ac:dyDescent="0.35">
      <c r="A64" t="s">
        <v>6</v>
      </c>
      <c r="B64">
        <v>1</v>
      </c>
      <c r="C64">
        <v>1</v>
      </c>
      <c r="D64">
        <v>0.72170130000449695</v>
      </c>
    </row>
    <row r="65" spans="1:4" x14ac:dyDescent="0.35">
      <c r="A65" t="s">
        <v>6</v>
      </c>
      <c r="B65">
        <v>1</v>
      </c>
      <c r="C65">
        <v>1</v>
      </c>
      <c r="D65">
        <v>0.86847830004990101</v>
      </c>
    </row>
    <row r="66" spans="1:4" x14ac:dyDescent="0.35">
      <c r="A66" t="s">
        <v>6</v>
      </c>
      <c r="B66">
        <v>1</v>
      </c>
      <c r="C66">
        <v>1</v>
      </c>
      <c r="D66">
        <v>0.47428399999625898</v>
      </c>
    </row>
    <row r="67" spans="1:4" x14ac:dyDescent="0.35">
      <c r="A67" t="s">
        <v>6</v>
      </c>
      <c r="B67">
        <v>1</v>
      </c>
      <c r="C67">
        <v>1</v>
      </c>
      <c r="D67">
        <v>0.50281840004026801</v>
      </c>
    </row>
    <row r="68" spans="1:4" x14ac:dyDescent="0.35">
      <c r="A68" t="s">
        <v>6</v>
      </c>
      <c r="B68">
        <v>1</v>
      </c>
      <c r="C68">
        <v>1</v>
      </c>
      <c r="D68">
        <v>0.53989590005949095</v>
      </c>
    </row>
    <row r="69" spans="1:4" x14ac:dyDescent="0.35">
      <c r="A69" t="s">
        <v>6</v>
      </c>
      <c r="B69">
        <v>1</v>
      </c>
      <c r="C69">
        <v>1</v>
      </c>
      <c r="D69">
        <v>0.65065359999425698</v>
      </c>
    </row>
    <row r="70" spans="1:4" x14ac:dyDescent="0.35">
      <c r="A70" t="s">
        <v>6</v>
      </c>
      <c r="B70">
        <v>1</v>
      </c>
      <c r="C70">
        <v>1</v>
      </c>
      <c r="D70">
        <v>0.45568180002737702</v>
      </c>
    </row>
    <row r="71" spans="1:4" x14ac:dyDescent="0.35">
      <c r="A71" t="s">
        <v>6</v>
      </c>
      <c r="B71">
        <v>1</v>
      </c>
      <c r="C71">
        <v>1</v>
      </c>
      <c r="D71">
        <v>0.53479470009915497</v>
      </c>
    </row>
    <row r="72" spans="1:4" x14ac:dyDescent="0.35">
      <c r="A72" t="s">
        <v>6</v>
      </c>
      <c r="B72">
        <v>1</v>
      </c>
      <c r="C72">
        <v>1</v>
      </c>
      <c r="D72">
        <v>0.60856550000607901</v>
      </c>
    </row>
    <row r="73" spans="1:4" x14ac:dyDescent="0.35">
      <c r="A73" t="s">
        <v>6</v>
      </c>
      <c r="B73">
        <v>1</v>
      </c>
      <c r="C73">
        <v>1</v>
      </c>
      <c r="D73">
        <v>0.53538729995489098</v>
      </c>
    </row>
    <row r="74" spans="1:4" x14ac:dyDescent="0.35">
      <c r="A74" t="s">
        <v>5</v>
      </c>
      <c r="B74">
        <v>1</v>
      </c>
      <c r="C74">
        <v>1</v>
      </c>
      <c r="D74">
        <v>1.1516462999861601</v>
      </c>
    </row>
    <row r="75" spans="1:4" x14ac:dyDescent="0.35">
      <c r="A75" t="s">
        <v>5</v>
      </c>
      <c r="B75">
        <v>1</v>
      </c>
      <c r="C75">
        <v>1</v>
      </c>
      <c r="D75">
        <v>1.00137169996742</v>
      </c>
    </row>
    <row r="76" spans="1:4" x14ac:dyDescent="0.35">
      <c r="A76" t="s">
        <v>5</v>
      </c>
      <c r="B76">
        <v>1</v>
      </c>
      <c r="C76">
        <v>1</v>
      </c>
      <c r="D76">
        <v>0.51761440001428105</v>
      </c>
    </row>
    <row r="77" spans="1:4" x14ac:dyDescent="0.35">
      <c r="A77" t="s">
        <v>5</v>
      </c>
      <c r="B77">
        <v>1</v>
      </c>
      <c r="C77">
        <v>1</v>
      </c>
      <c r="D77">
        <v>0.75549490004777897</v>
      </c>
    </row>
    <row r="78" spans="1:4" x14ac:dyDescent="0.35">
      <c r="A78" t="s">
        <v>5</v>
      </c>
      <c r="B78">
        <v>1</v>
      </c>
      <c r="C78">
        <v>1</v>
      </c>
      <c r="D78">
        <v>0.56821170006878596</v>
      </c>
    </row>
    <row r="79" spans="1:4" x14ac:dyDescent="0.35">
      <c r="A79" t="s">
        <v>5</v>
      </c>
      <c r="B79">
        <v>1</v>
      </c>
      <c r="C79">
        <v>1</v>
      </c>
      <c r="D79">
        <v>0.71658949996344701</v>
      </c>
    </row>
    <row r="80" spans="1:4" x14ac:dyDescent="0.35">
      <c r="A80" t="s">
        <v>5</v>
      </c>
      <c r="B80">
        <v>1</v>
      </c>
      <c r="C80">
        <v>1</v>
      </c>
      <c r="D80">
        <v>0.53865240002050996</v>
      </c>
    </row>
    <row r="81" spans="1:4" x14ac:dyDescent="0.35">
      <c r="A81" t="s">
        <v>5</v>
      </c>
      <c r="B81">
        <v>1</v>
      </c>
      <c r="C81">
        <v>1</v>
      </c>
      <c r="D81">
        <v>0.526175200007855</v>
      </c>
    </row>
    <row r="82" spans="1:4" x14ac:dyDescent="0.35">
      <c r="A82" t="s">
        <v>5</v>
      </c>
      <c r="B82">
        <v>1</v>
      </c>
      <c r="C82">
        <v>1</v>
      </c>
      <c r="D82">
        <v>0.59622900001704604</v>
      </c>
    </row>
    <row r="83" spans="1:4" x14ac:dyDescent="0.35">
      <c r="A83" t="s">
        <v>5</v>
      </c>
      <c r="B83">
        <v>1</v>
      </c>
      <c r="C83">
        <v>1</v>
      </c>
      <c r="D83">
        <v>0.36059860000386801</v>
      </c>
    </row>
    <row r="84" spans="1:4" x14ac:dyDescent="0.35">
      <c r="A84" t="s">
        <v>5</v>
      </c>
      <c r="B84">
        <v>1</v>
      </c>
      <c r="C84">
        <v>1</v>
      </c>
      <c r="D84">
        <v>0.54673679999541402</v>
      </c>
    </row>
    <row r="85" spans="1:4" x14ac:dyDescent="0.35">
      <c r="A85" t="s">
        <v>5</v>
      </c>
      <c r="B85">
        <v>1</v>
      </c>
      <c r="C85">
        <v>1</v>
      </c>
      <c r="D85">
        <v>0.554978300002403</v>
      </c>
    </row>
    <row r="86" spans="1:4" x14ac:dyDescent="0.35">
      <c r="A86" t="s">
        <v>5</v>
      </c>
      <c r="B86">
        <v>1</v>
      </c>
      <c r="C86">
        <v>1</v>
      </c>
      <c r="D86">
        <v>0.55130679998546805</v>
      </c>
    </row>
    <row r="87" spans="1:4" x14ac:dyDescent="0.35">
      <c r="A87" t="s">
        <v>5</v>
      </c>
      <c r="B87">
        <v>1</v>
      </c>
      <c r="C87">
        <v>1</v>
      </c>
      <c r="D87">
        <v>0.50581689993850798</v>
      </c>
    </row>
    <row r="88" spans="1:4" x14ac:dyDescent="0.35">
      <c r="A88" t="s">
        <v>5</v>
      </c>
      <c r="B88">
        <v>1</v>
      </c>
      <c r="C88">
        <v>1</v>
      </c>
      <c r="D88">
        <v>0.48140170006081401</v>
      </c>
    </row>
    <row r="89" spans="1:4" x14ac:dyDescent="0.35">
      <c r="A89" t="s">
        <v>5</v>
      </c>
      <c r="B89">
        <v>1</v>
      </c>
      <c r="C89">
        <v>1</v>
      </c>
      <c r="D89">
        <v>0.48275149997789402</v>
      </c>
    </row>
    <row r="90" spans="1:4" x14ac:dyDescent="0.35">
      <c r="A90" t="s">
        <v>5</v>
      </c>
      <c r="B90">
        <v>1</v>
      </c>
      <c r="C90">
        <v>1</v>
      </c>
      <c r="D90">
        <v>0.57480069994926397</v>
      </c>
    </row>
    <row r="91" spans="1:4" x14ac:dyDescent="0.35">
      <c r="A91" t="s">
        <v>5</v>
      </c>
      <c r="B91">
        <v>1</v>
      </c>
      <c r="C91">
        <v>1</v>
      </c>
      <c r="D91">
        <v>0.53963299992028602</v>
      </c>
    </row>
    <row r="92" spans="1:4" x14ac:dyDescent="0.35">
      <c r="A92" t="s">
        <v>5</v>
      </c>
      <c r="B92">
        <v>1</v>
      </c>
      <c r="C92">
        <v>1</v>
      </c>
      <c r="D92">
        <v>0.87948370003141396</v>
      </c>
    </row>
    <row r="93" spans="1:4" x14ac:dyDescent="0.35">
      <c r="A93" t="s">
        <v>5</v>
      </c>
      <c r="B93">
        <v>1</v>
      </c>
      <c r="C93">
        <v>1</v>
      </c>
      <c r="D93">
        <v>0.54806489998009</v>
      </c>
    </row>
    <row r="94" spans="1:4" x14ac:dyDescent="0.35">
      <c r="A94" t="s">
        <v>5</v>
      </c>
      <c r="B94">
        <v>1</v>
      </c>
      <c r="C94">
        <v>1</v>
      </c>
      <c r="D94">
        <v>0.609196100034751</v>
      </c>
    </row>
    <row r="95" spans="1:4" x14ac:dyDescent="0.35">
      <c r="A95" t="s">
        <v>5</v>
      </c>
      <c r="B95">
        <v>1</v>
      </c>
      <c r="C95">
        <v>1</v>
      </c>
      <c r="D95">
        <v>0.58502539992332403</v>
      </c>
    </row>
    <row r="96" spans="1:4" x14ac:dyDescent="0.35">
      <c r="A96" t="s">
        <v>5</v>
      </c>
      <c r="B96">
        <v>1</v>
      </c>
      <c r="C96">
        <v>1</v>
      </c>
      <c r="D96">
        <v>0.53405920008662999</v>
      </c>
    </row>
    <row r="97" spans="1:4" x14ac:dyDescent="0.35">
      <c r="A97" t="s">
        <v>6</v>
      </c>
      <c r="B97">
        <v>0</v>
      </c>
      <c r="C97">
        <v>0</v>
      </c>
      <c r="D97">
        <v>0.33774530002847297</v>
      </c>
    </row>
    <row r="98" spans="1:4" x14ac:dyDescent="0.35">
      <c r="A98" t="s">
        <v>6</v>
      </c>
      <c r="B98">
        <v>0</v>
      </c>
      <c r="C98">
        <v>0</v>
      </c>
      <c r="D98">
        <v>0.37892010004725302</v>
      </c>
    </row>
    <row r="99" spans="1:4" x14ac:dyDescent="0.35">
      <c r="A99" t="s">
        <v>5</v>
      </c>
      <c r="B99">
        <v>0</v>
      </c>
      <c r="C99">
        <v>0</v>
      </c>
      <c r="D99">
        <v>0.38569160003680703</v>
      </c>
    </row>
    <row r="100" spans="1:4" x14ac:dyDescent="0.35">
      <c r="A100" t="s">
        <v>5</v>
      </c>
      <c r="B100">
        <v>0</v>
      </c>
      <c r="C100">
        <v>1</v>
      </c>
      <c r="D100">
        <v>0.44820890005212199</v>
      </c>
    </row>
    <row r="101" spans="1:4" x14ac:dyDescent="0.35">
      <c r="A101" t="s">
        <v>5</v>
      </c>
      <c r="B101">
        <v>0</v>
      </c>
      <c r="C101">
        <v>1</v>
      </c>
      <c r="D101">
        <v>0.56657160003669504</v>
      </c>
    </row>
  </sheetData>
  <autoFilter ref="A1:D1" xr:uid="{E14AED34-79B5-4151-9681-5EC65FA27DDB}">
    <sortState xmlns:xlrd2="http://schemas.microsoft.com/office/spreadsheetml/2017/richdata2" ref="A2:D101">
      <sortCondition descending="1" ref="B1"/>
    </sortState>
  </autoFilter>
  <mergeCells count="2">
    <mergeCell ref="G1:I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 Analysis</vt:lpstr>
      <vt:lpstr>JASP- RT</vt:lpstr>
      <vt:lpstr>JASP-Accuracy</vt:lpstr>
      <vt:lpstr>P001</vt:lpstr>
      <vt:lpstr>P002</vt:lpstr>
      <vt:lpstr>P003</vt:lpstr>
      <vt:lpstr>P004</vt:lpstr>
      <vt:lpstr>P005</vt:lpstr>
      <vt:lpstr>P006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2015-06-05T18:17:20Z</dcterms:created>
  <dcterms:modified xsi:type="dcterms:W3CDTF">2025-11-22T06:07:14Z</dcterms:modified>
</cp:coreProperties>
</file>