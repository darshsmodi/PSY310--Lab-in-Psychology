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607f9d57cf08c3c/Documents/AU/PSY310/Delay Discounting/"/>
    </mc:Choice>
  </mc:AlternateContent>
  <xr:revisionPtr revIDLastSave="473" documentId="11_F25DC773A252ABDACC104854E15A721A5ADE58E9" xr6:coauthVersionLast="47" xr6:coauthVersionMax="47" xr10:uidLastSave="{EC978D31-B533-40EE-AC3D-50B1BB9DFC06}"/>
  <bookViews>
    <workbookView xWindow="-110" yWindow="-110" windowWidth="19420" windowHeight="11020" activeTab="1" xr2:uid="{00000000-000D-0000-FFFF-FFFF00000000}"/>
  </bookViews>
  <sheets>
    <sheet name="Analysis" sheetId="5" r:id="rId1"/>
    <sheet name="P001" sheetId="1" r:id="rId2"/>
    <sheet name="P002" sheetId="2" r:id="rId3"/>
    <sheet name="P003" sheetId="3" r:id="rId4"/>
    <sheet name="P00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2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F16" i="1" s="1"/>
  <c r="E18" i="1"/>
  <c r="F18" i="1" s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F32" i="1" s="1"/>
  <c r="E34" i="1"/>
  <c r="F34" i="1" s="1"/>
  <c r="E35" i="1"/>
  <c r="E36" i="1"/>
  <c r="E37" i="1"/>
  <c r="E38" i="1"/>
  <c r="E39" i="1"/>
  <c r="E40" i="1"/>
  <c r="E41" i="1"/>
  <c r="E42" i="1"/>
  <c r="F42" i="1" s="1"/>
  <c r="E43" i="1"/>
  <c r="E44" i="1"/>
  <c r="E45" i="1"/>
  <c r="E46" i="1"/>
  <c r="E47" i="1"/>
  <c r="E48" i="1"/>
  <c r="E49" i="1"/>
  <c r="F48" i="1" s="1"/>
  <c r="E50" i="1"/>
  <c r="F50" i="1" s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2" i="1"/>
  <c r="E3" i="2"/>
  <c r="E4" i="2"/>
  <c r="E5" i="2"/>
  <c r="E6" i="2"/>
  <c r="E7" i="2"/>
  <c r="F6" i="2" s="1"/>
  <c r="E8" i="2"/>
  <c r="E9" i="2"/>
  <c r="E10" i="2"/>
  <c r="F10" i="2" s="1"/>
  <c r="E11" i="2"/>
  <c r="E12" i="2"/>
  <c r="E13" i="2"/>
  <c r="E14" i="2"/>
  <c r="E15" i="2"/>
  <c r="E16" i="2"/>
  <c r="E17" i="2"/>
  <c r="F16" i="2" s="1"/>
  <c r="E18" i="2"/>
  <c r="F18" i="2" s="1"/>
  <c r="E19" i="2"/>
  <c r="E20" i="2"/>
  <c r="E21" i="2"/>
  <c r="E22" i="2"/>
  <c r="E23" i="2"/>
  <c r="F22" i="2" s="1"/>
  <c r="E24" i="2"/>
  <c r="E25" i="2"/>
  <c r="E26" i="2"/>
  <c r="F26" i="2" s="1"/>
  <c r="E27" i="2"/>
  <c r="E28" i="2"/>
  <c r="E29" i="2"/>
  <c r="E30" i="2"/>
  <c r="E31" i="2"/>
  <c r="E32" i="2"/>
  <c r="E33" i="2"/>
  <c r="F32" i="2" s="1"/>
  <c r="E34" i="2"/>
  <c r="F34" i="2" s="1"/>
  <c r="E35" i="2"/>
  <c r="E36" i="2"/>
  <c r="E37" i="2"/>
  <c r="E38" i="2"/>
  <c r="E39" i="2"/>
  <c r="F38" i="2" s="1"/>
  <c r="E40" i="2"/>
  <c r="E41" i="2"/>
  <c r="E42" i="2"/>
  <c r="F42" i="2" s="1"/>
  <c r="E43" i="2"/>
  <c r="E44" i="2"/>
  <c r="E45" i="2"/>
  <c r="E46" i="2"/>
  <c r="E47" i="2"/>
  <c r="E48" i="2"/>
  <c r="E49" i="2"/>
  <c r="F48" i="2" s="1"/>
  <c r="E50" i="2"/>
  <c r="F50" i="2" s="1"/>
  <c r="E51" i="2"/>
  <c r="E52" i="2"/>
  <c r="E53" i="2"/>
  <c r="E54" i="2"/>
  <c r="E55" i="2"/>
  <c r="F54" i="2" s="1"/>
  <c r="E56" i="2"/>
  <c r="E57" i="2"/>
  <c r="E58" i="2"/>
  <c r="F58" i="2" s="1"/>
  <c r="E59" i="2"/>
  <c r="E2" i="2"/>
  <c r="E3" i="3"/>
  <c r="E4" i="3"/>
  <c r="E5" i="3"/>
  <c r="E6" i="3"/>
  <c r="E7" i="3"/>
  <c r="E8" i="3"/>
  <c r="F8" i="3" s="1"/>
  <c r="E9" i="3"/>
  <c r="E10" i="3"/>
  <c r="E11" i="3"/>
  <c r="E12" i="3"/>
  <c r="E13" i="3"/>
  <c r="E14" i="3"/>
  <c r="E15" i="3"/>
  <c r="E16" i="3"/>
  <c r="F16" i="3" s="1"/>
  <c r="E17" i="3"/>
  <c r="E18" i="3"/>
  <c r="E19" i="3"/>
  <c r="E20" i="3"/>
  <c r="E21" i="3"/>
  <c r="E22" i="3"/>
  <c r="E23" i="3"/>
  <c r="E24" i="3"/>
  <c r="F24" i="3" s="1"/>
  <c r="E25" i="3"/>
  <c r="E26" i="3"/>
  <c r="E27" i="3"/>
  <c r="E28" i="3"/>
  <c r="E29" i="3"/>
  <c r="E30" i="3"/>
  <c r="E31" i="3"/>
  <c r="E32" i="3"/>
  <c r="F32" i="3" s="1"/>
  <c r="E33" i="3"/>
  <c r="E34" i="3"/>
  <c r="E35" i="3"/>
  <c r="E36" i="3"/>
  <c r="E37" i="3"/>
  <c r="E38" i="3"/>
  <c r="E39" i="3"/>
  <c r="E40" i="3"/>
  <c r="F40" i="3" s="1"/>
  <c r="E41" i="3"/>
  <c r="E42" i="3"/>
  <c r="E43" i="3"/>
  <c r="E44" i="3"/>
  <c r="E45" i="3"/>
  <c r="E46" i="3"/>
  <c r="F46" i="3" s="1"/>
  <c r="E47" i="3"/>
  <c r="E48" i="3"/>
  <c r="F48" i="3" s="1"/>
  <c r="E49" i="3"/>
  <c r="E50" i="3"/>
  <c r="E51" i="3"/>
  <c r="E52" i="3"/>
  <c r="E53" i="3"/>
  <c r="E54" i="3"/>
  <c r="E55" i="3"/>
  <c r="E56" i="3"/>
  <c r="F56" i="3" s="1"/>
  <c r="E57" i="3"/>
  <c r="E58" i="3"/>
  <c r="E59" i="3"/>
  <c r="E60" i="3"/>
  <c r="E61" i="3"/>
  <c r="E2" i="3"/>
  <c r="E3" i="4"/>
  <c r="E4" i="4"/>
  <c r="E5" i="4"/>
  <c r="E6" i="4"/>
  <c r="E7" i="4"/>
  <c r="E8" i="4"/>
  <c r="E9" i="4"/>
  <c r="F8" i="4" s="1"/>
  <c r="E10" i="4"/>
  <c r="E11" i="4"/>
  <c r="E12" i="4"/>
  <c r="E13" i="4"/>
  <c r="E14" i="4"/>
  <c r="E15" i="4"/>
  <c r="E16" i="4"/>
  <c r="F16" i="4" s="1"/>
  <c r="E17" i="4"/>
  <c r="E18" i="4"/>
  <c r="E19" i="4"/>
  <c r="E20" i="4"/>
  <c r="E21" i="4"/>
  <c r="E22" i="4"/>
  <c r="E23" i="4"/>
  <c r="E24" i="4"/>
  <c r="F24" i="4" s="1"/>
  <c r="E25" i="4"/>
  <c r="E26" i="4"/>
  <c r="E27" i="4"/>
  <c r="E28" i="4"/>
  <c r="E29" i="4"/>
  <c r="E30" i="4"/>
  <c r="E31" i="4"/>
  <c r="E32" i="4"/>
  <c r="F32" i="4" s="1"/>
  <c r="E33" i="4"/>
  <c r="E34" i="4"/>
  <c r="E35" i="4"/>
  <c r="E36" i="4"/>
  <c r="E37" i="4"/>
  <c r="E38" i="4"/>
  <c r="E39" i="4"/>
  <c r="E40" i="4"/>
  <c r="F40" i="4" s="1"/>
  <c r="E41" i="4"/>
  <c r="E42" i="4"/>
  <c r="E43" i="4"/>
  <c r="E44" i="4"/>
  <c r="E45" i="4"/>
  <c r="E46" i="4"/>
  <c r="E47" i="4"/>
  <c r="E48" i="4"/>
  <c r="F48" i="4" s="1"/>
  <c r="E49" i="4"/>
  <c r="E50" i="4"/>
  <c r="E51" i="4"/>
  <c r="E52" i="4"/>
  <c r="E53" i="4"/>
  <c r="E54" i="4"/>
  <c r="E55" i="4"/>
  <c r="E56" i="4"/>
  <c r="F56" i="4" s="1"/>
  <c r="E57" i="4"/>
  <c r="E58" i="4"/>
  <c r="E59" i="4"/>
  <c r="E60" i="4"/>
  <c r="E61" i="4"/>
  <c r="E62" i="4"/>
  <c r="E63" i="4"/>
  <c r="E64" i="4"/>
  <c r="F64" i="4" s="1"/>
  <c r="E65" i="4"/>
  <c r="E2" i="4"/>
  <c r="F4" i="1"/>
  <c r="F6" i="1"/>
  <c r="F8" i="1"/>
  <c r="F10" i="1"/>
  <c r="F12" i="1"/>
  <c r="F14" i="1"/>
  <c r="F20" i="1"/>
  <c r="F22" i="1"/>
  <c r="F24" i="1"/>
  <c r="F26" i="1"/>
  <c r="F28" i="1"/>
  <c r="F30" i="1"/>
  <c r="F36" i="1"/>
  <c r="F38" i="1"/>
  <c r="F40" i="1"/>
  <c r="F44" i="1"/>
  <c r="F46" i="1"/>
  <c r="F52" i="1"/>
  <c r="F54" i="1"/>
  <c r="F56" i="1"/>
  <c r="F58" i="1"/>
  <c r="F60" i="1"/>
  <c r="F62" i="1"/>
  <c r="F4" i="2"/>
  <c r="F8" i="2"/>
  <c r="F12" i="2"/>
  <c r="F14" i="2"/>
  <c r="F20" i="2"/>
  <c r="F24" i="2"/>
  <c r="F28" i="2"/>
  <c r="F30" i="2"/>
  <c r="F36" i="2"/>
  <c r="F40" i="2"/>
  <c r="F44" i="2"/>
  <c r="F46" i="2"/>
  <c r="F52" i="2"/>
  <c r="F56" i="2"/>
  <c r="F36" i="3"/>
  <c r="F38" i="3"/>
  <c r="F42" i="3"/>
  <c r="F44" i="3"/>
  <c r="F50" i="3"/>
  <c r="F52" i="3"/>
  <c r="F54" i="3"/>
  <c r="F58" i="3"/>
  <c r="F60" i="3"/>
  <c r="F34" i="3"/>
  <c r="F30" i="3"/>
  <c r="F28" i="3"/>
  <c r="F26" i="3"/>
  <c r="F22" i="3"/>
  <c r="F20" i="3"/>
  <c r="F18" i="3"/>
  <c r="F14" i="3"/>
  <c r="F12" i="3"/>
  <c r="F10" i="3"/>
  <c r="F6" i="3"/>
  <c r="F4" i="3"/>
  <c r="F2" i="3"/>
  <c r="F62" i="4"/>
  <c r="F60" i="4"/>
  <c r="F58" i="4"/>
  <c r="F54" i="4"/>
  <c r="F52" i="4"/>
  <c r="F50" i="4"/>
  <c r="F46" i="4"/>
  <c r="F44" i="4"/>
  <c r="F42" i="4"/>
  <c r="F38" i="4"/>
  <c r="F36" i="4"/>
  <c r="F34" i="4"/>
  <c r="F22" i="4"/>
  <c r="F20" i="4"/>
  <c r="F6" i="4"/>
  <c r="F4" i="4"/>
  <c r="F10" i="4"/>
  <c r="F12" i="4"/>
  <c r="F14" i="4"/>
  <c r="F18" i="4"/>
  <c r="F26" i="4"/>
  <c r="F28" i="4"/>
  <c r="F30" i="4"/>
  <c r="F64" i="1" l="1"/>
  <c r="B2" i="5" s="1"/>
  <c r="F2" i="2"/>
  <c r="F60" i="2" s="1"/>
  <c r="B3" i="5" s="1"/>
  <c r="F62" i="3"/>
  <c r="B4" i="5" s="1"/>
  <c r="F2" i="4"/>
  <c r="F66" i="4" s="1"/>
  <c r="B5" i="5" s="1"/>
  <c r="B6" i="5" l="1"/>
</calcChain>
</file>

<file path=xl/sharedStrings.xml><?xml version="1.0" encoding="utf-8"?>
<sst xmlns="http://schemas.openxmlformats.org/spreadsheetml/2006/main" count="279" uniqueCount="16">
  <si>
    <t>reward_today</t>
  </si>
  <si>
    <t>future_reward</t>
  </si>
  <si>
    <t>delay</t>
  </si>
  <si>
    <t>key_resp.keys</t>
  </si>
  <si>
    <t>t</t>
  </si>
  <si>
    <t>l</t>
  </si>
  <si>
    <t>K value</t>
  </si>
  <si>
    <t>k value</t>
  </si>
  <si>
    <t>Average</t>
  </si>
  <si>
    <t>P001</t>
  </si>
  <si>
    <t>P002</t>
  </si>
  <si>
    <t>P003</t>
  </si>
  <si>
    <t>P004</t>
  </si>
  <si>
    <t>Participant Number</t>
  </si>
  <si>
    <t>Geo Mean</t>
  </si>
  <si>
    <t>Geo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</si>
</sst>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ACB3-E82F-49D7-93A3-EE7FEAF8BEBF}">
  <dimension ref="A1:B6"/>
  <sheetViews>
    <sheetView zoomScale="112" workbookViewId="0">
      <selection sqref="A1:A3"/>
    </sheetView>
  </sheetViews>
  <sheetFormatPr defaultRowHeight="14.5" x14ac:dyDescent="0.35"/>
  <cols>
    <col min="1" max="1" width="17.1796875" bestFit="1" customWidth="1"/>
  </cols>
  <sheetData>
    <row r="1" spans="1:2" x14ac:dyDescent="0.35">
      <c r="A1" s="3" t="s">
        <v>13</v>
      </c>
      <c r="B1" s="3" t="s">
        <v>7</v>
      </c>
    </row>
    <row r="2" spans="1:2" x14ac:dyDescent="0.35">
      <c r="A2" s="4" t="s">
        <v>9</v>
      </c>
      <c r="B2" s="5">
        <f>'P001'!F64</f>
        <v>6.5808753356607991E-2</v>
      </c>
    </row>
    <row r="3" spans="1:2" x14ac:dyDescent="0.35">
      <c r="A3" s="4" t="s">
        <v>10</v>
      </c>
      <c r="B3" s="5">
        <f>'P002'!F60</f>
        <v>7.3806880421036739E-2</v>
      </c>
    </row>
    <row r="4" spans="1:2" x14ac:dyDescent="0.35">
      <c r="A4" s="4" t="s">
        <v>11</v>
      </c>
      <c r="B4" s="5">
        <f>'P003'!F62</f>
        <v>6.4765272367163965E-2</v>
      </c>
    </row>
    <row r="5" spans="1:2" x14ac:dyDescent="0.35">
      <c r="A5" s="4" t="s">
        <v>12</v>
      </c>
      <c r="B5" s="5">
        <f>'P004'!F66</f>
        <v>6.3569117461029861E-2</v>
      </c>
    </row>
    <row r="6" spans="1:2" x14ac:dyDescent="0.35">
      <c r="A6" s="3" t="s">
        <v>8</v>
      </c>
      <c r="B6" s="5">
        <f>AVERAGE(B2:B5)</f>
        <v>6.6987505901459632E-2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zoomScale="107" zoomScaleNormal="10" workbookViewId="0">
      <selection activeCell="F1" sqref="F1"/>
    </sheetView>
  </sheetViews>
  <sheetFormatPr defaultRowHeight="14.5" x14ac:dyDescent="0.35"/>
  <cols>
    <col min="1" max="1" width="12.54296875" bestFit="1" customWidth="1"/>
    <col min="2" max="2" width="13.08984375" bestFit="1" customWidth="1"/>
    <col min="4" max="4" width="12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14</v>
      </c>
    </row>
    <row r="2" spans="1:6" x14ac:dyDescent="0.35">
      <c r="A2">
        <v>67</v>
      </c>
      <c r="B2">
        <v>75</v>
      </c>
      <c r="C2">
        <v>119</v>
      </c>
      <c r="D2" t="s">
        <v>4</v>
      </c>
      <c r="E2">
        <f>((B2/A2)-1)/C2</f>
        <v>1.0033864291985443E-3</v>
      </c>
      <c r="F2" s="1">
        <f>AVERAGE(E2:E3)</f>
        <v>1.7628718433541453E-3</v>
      </c>
    </row>
    <row r="3" spans="1:6" x14ac:dyDescent="0.35">
      <c r="A3">
        <v>49</v>
      </c>
      <c r="B3">
        <v>60</v>
      </c>
      <c r="C3">
        <v>89</v>
      </c>
      <c r="D3" t="s">
        <v>5</v>
      </c>
      <c r="E3">
        <f t="shared" ref="E3:E63" si="0">((B3/A3)-1)/C3</f>
        <v>2.522357257509746E-3</v>
      </c>
      <c r="F3" s="1"/>
    </row>
    <row r="4" spans="1:6" x14ac:dyDescent="0.35">
      <c r="A4">
        <v>11</v>
      </c>
      <c r="B4">
        <v>30</v>
      </c>
      <c r="C4">
        <v>7</v>
      </c>
      <c r="D4" t="s">
        <v>4</v>
      </c>
      <c r="E4">
        <f t="shared" si="0"/>
        <v>0.24675324675324672</v>
      </c>
      <c r="F4" s="1">
        <f t="shared" ref="F4" si="1">AVERAGE(E4:E5)</f>
        <v>0.17465867465867466</v>
      </c>
    </row>
    <row r="5" spans="1:6" x14ac:dyDescent="0.35">
      <c r="A5">
        <v>15</v>
      </c>
      <c r="B5">
        <v>35</v>
      </c>
      <c r="C5">
        <v>13</v>
      </c>
      <c r="D5" t="s">
        <v>5</v>
      </c>
      <c r="E5">
        <f t="shared" si="0"/>
        <v>0.10256410256410257</v>
      </c>
      <c r="F5" s="1"/>
    </row>
    <row r="6" spans="1:6" x14ac:dyDescent="0.35">
      <c r="A6">
        <v>49</v>
      </c>
      <c r="B6">
        <v>60</v>
      </c>
      <c r="C6">
        <v>89</v>
      </c>
      <c r="D6" t="s">
        <v>4</v>
      </c>
      <c r="E6">
        <f t="shared" si="0"/>
        <v>2.522357257509746E-3</v>
      </c>
      <c r="F6" s="1">
        <f t="shared" ref="F6" si="2">AVERAGE(E6:E7)</f>
        <v>0.12463780200537823</v>
      </c>
    </row>
    <row r="7" spans="1:6" x14ac:dyDescent="0.35">
      <c r="A7">
        <v>11</v>
      </c>
      <c r="B7">
        <v>30</v>
      </c>
      <c r="C7">
        <v>7</v>
      </c>
      <c r="D7" t="s">
        <v>5</v>
      </c>
      <c r="E7">
        <f t="shared" si="0"/>
        <v>0.24675324675324672</v>
      </c>
      <c r="F7" s="1"/>
    </row>
    <row r="8" spans="1:6" x14ac:dyDescent="0.35">
      <c r="A8">
        <v>67</v>
      </c>
      <c r="B8">
        <v>75</v>
      </c>
      <c r="C8">
        <v>119</v>
      </c>
      <c r="D8" t="s">
        <v>4</v>
      </c>
      <c r="E8">
        <f t="shared" si="0"/>
        <v>1.0033864291985443E-3</v>
      </c>
      <c r="F8" s="1">
        <f t="shared" ref="F8" si="3">AVERAGE(E8:E9)</f>
        <v>3.5258867629863687E-3</v>
      </c>
    </row>
    <row r="9" spans="1:6" x14ac:dyDescent="0.35">
      <c r="A9">
        <v>40</v>
      </c>
      <c r="B9">
        <v>55</v>
      </c>
      <c r="C9">
        <v>62</v>
      </c>
      <c r="D9" t="s">
        <v>5</v>
      </c>
      <c r="E9">
        <f t="shared" si="0"/>
        <v>6.0483870967741934E-3</v>
      </c>
      <c r="F9" s="1"/>
    </row>
    <row r="10" spans="1:6" x14ac:dyDescent="0.35">
      <c r="A10">
        <v>49</v>
      </c>
      <c r="B10">
        <v>60</v>
      </c>
      <c r="C10">
        <v>89</v>
      </c>
      <c r="D10" t="s">
        <v>4</v>
      </c>
      <c r="E10">
        <f t="shared" si="0"/>
        <v>2.522357257509746E-3</v>
      </c>
      <c r="F10" s="1">
        <f t="shared" ref="F10" si="4">AVERAGE(E10:E11)</f>
        <v>1.7628718433541453E-3</v>
      </c>
    </row>
    <row r="11" spans="1:6" x14ac:dyDescent="0.35">
      <c r="A11">
        <v>67</v>
      </c>
      <c r="B11">
        <v>75</v>
      </c>
      <c r="C11">
        <v>119</v>
      </c>
      <c r="D11" t="s">
        <v>5</v>
      </c>
      <c r="E11">
        <f t="shared" si="0"/>
        <v>1.0033864291985443E-3</v>
      </c>
      <c r="F11" s="1"/>
    </row>
    <row r="12" spans="1:6" x14ac:dyDescent="0.35">
      <c r="A12">
        <v>78</v>
      </c>
      <c r="B12">
        <v>80</v>
      </c>
      <c r="C12">
        <v>162</v>
      </c>
      <c r="D12" t="s">
        <v>4</v>
      </c>
      <c r="E12">
        <f t="shared" si="0"/>
        <v>1.5827793605571326E-4</v>
      </c>
      <c r="F12" s="1">
        <f t="shared" ref="F12" si="5">AVERAGE(E12:E13)</f>
        <v>0.12345576234465122</v>
      </c>
    </row>
    <row r="13" spans="1:6" x14ac:dyDescent="0.35">
      <c r="A13">
        <v>11</v>
      </c>
      <c r="B13">
        <v>30</v>
      </c>
      <c r="C13">
        <v>7</v>
      </c>
      <c r="D13" t="s">
        <v>5</v>
      </c>
      <c r="E13">
        <f t="shared" si="0"/>
        <v>0.24675324675324672</v>
      </c>
      <c r="F13" s="1"/>
    </row>
    <row r="14" spans="1:6" x14ac:dyDescent="0.35">
      <c r="A14">
        <v>49</v>
      </c>
      <c r="B14">
        <v>60</v>
      </c>
      <c r="C14">
        <v>89</v>
      </c>
      <c r="D14" t="s">
        <v>4</v>
      </c>
      <c r="E14">
        <f t="shared" si="0"/>
        <v>2.522357257509746E-3</v>
      </c>
      <c r="F14" s="1">
        <f t="shared" ref="F14" si="6">AVERAGE(E14:E15)</f>
        <v>5.2543229910806163E-2</v>
      </c>
    </row>
    <row r="15" spans="1:6" x14ac:dyDescent="0.35">
      <c r="A15">
        <v>15</v>
      </c>
      <c r="B15">
        <v>35</v>
      </c>
      <c r="C15">
        <v>13</v>
      </c>
      <c r="D15" t="s">
        <v>5</v>
      </c>
      <c r="E15">
        <f t="shared" si="0"/>
        <v>0.10256410256410257</v>
      </c>
      <c r="F15" s="1"/>
    </row>
    <row r="16" spans="1:6" x14ac:dyDescent="0.35">
      <c r="A16">
        <v>67</v>
      </c>
      <c r="B16">
        <v>75</v>
      </c>
      <c r="C16">
        <v>119</v>
      </c>
      <c r="D16" t="s">
        <v>4</v>
      </c>
      <c r="E16">
        <f t="shared" si="0"/>
        <v>1.0033864291985443E-3</v>
      </c>
      <c r="F16" s="1">
        <f t="shared" ref="F16" si="7">AVERAGE(E16:E17)</f>
        <v>2.0783880163452888E-2</v>
      </c>
    </row>
    <row r="17" spans="1:6" x14ac:dyDescent="0.35">
      <c r="A17">
        <v>27</v>
      </c>
      <c r="B17">
        <v>50</v>
      </c>
      <c r="C17">
        <v>21</v>
      </c>
      <c r="D17" t="s">
        <v>5</v>
      </c>
      <c r="E17">
        <f t="shared" si="0"/>
        <v>4.0564373897707229E-2</v>
      </c>
      <c r="F17" s="1"/>
    </row>
    <row r="18" spans="1:6" x14ac:dyDescent="0.35">
      <c r="A18">
        <v>40</v>
      </c>
      <c r="B18">
        <v>55</v>
      </c>
      <c r="C18">
        <v>62</v>
      </c>
      <c r="D18" t="s">
        <v>4</v>
      </c>
      <c r="E18">
        <f t="shared" si="0"/>
        <v>6.0483870967741934E-3</v>
      </c>
      <c r="F18" s="1">
        <f t="shared" ref="F18" si="8">AVERAGE(E18:E19)</f>
        <v>0.12640081692501046</v>
      </c>
    </row>
    <row r="19" spans="1:6" x14ac:dyDescent="0.35">
      <c r="A19">
        <v>11</v>
      </c>
      <c r="B19">
        <v>30</v>
      </c>
      <c r="C19">
        <v>7</v>
      </c>
      <c r="D19" t="s">
        <v>5</v>
      </c>
      <c r="E19">
        <f t="shared" si="0"/>
        <v>0.24675324675324672</v>
      </c>
      <c r="F19" s="1"/>
    </row>
    <row r="20" spans="1:6" x14ac:dyDescent="0.35">
      <c r="A20">
        <v>49</v>
      </c>
      <c r="B20">
        <v>60</v>
      </c>
      <c r="C20">
        <v>89</v>
      </c>
      <c r="D20" t="s">
        <v>4</v>
      </c>
      <c r="E20">
        <f t="shared" si="0"/>
        <v>2.522357257509746E-3</v>
      </c>
      <c r="F20" s="1">
        <f t="shared" ref="F20" si="9">AVERAGE(E20:E21)</f>
        <v>4.2853721771419695E-3</v>
      </c>
    </row>
    <row r="21" spans="1:6" x14ac:dyDescent="0.35">
      <c r="A21">
        <v>40</v>
      </c>
      <c r="B21">
        <v>55</v>
      </c>
      <c r="C21">
        <v>62</v>
      </c>
      <c r="D21" t="s">
        <v>5</v>
      </c>
      <c r="E21">
        <f t="shared" si="0"/>
        <v>6.0483870967741934E-3</v>
      </c>
      <c r="F21" s="1"/>
    </row>
    <row r="22" spans="1:6" x14ac:dyDescent="0.35">
      <c r="A22">
        <v>27</v>
      </c>
      <c r="B22">
        <v>50</v>
      </c>
      <c r="C22">
        <v>21</v>
      </c>
      <c r="D22" t="s">
        <v>4</v>
      </c>
      <c r="E22">
        <f t="shared" si="0"/>
        <v>4.0564373897707229E-2</v>
      </c>
      <c r="F22" s="1">
        <f t="shared" ref="F22" si="10">AVERAGE(E22:E23)</f>
        <v>2.0783880163452888E-2</v>
      </c>
    </row>
    <row r="23" spans="1:6" x14ac:dyDescent="0.35">
      <c r="A23">
        <v>67</v>
      </c>
      <c r="B23">
        <v>75</v>
      </c>
      <c r="C23">
        <v>119</v>
      </c>
      <c r="D23" t="s">
        <v>5</v>
      </c>
      <c r="E23">
        <f t="shared" si="0"/>
        <v>1.0033864291985443E-3</v>
      </c>
      <c r="F23" s="1"/>
    </row>
    <row r="24" spans="1:6" x14ac:dyDescent="0.35">
      <c r="A24">
        <v>27</v>
      </c>
      <c r="B24">
        <v>50</v>
      </c>
      <c r="C24">
        <v>21</v>
      </c>
      <c r="D24" t="s">
        <v>4</v>
      </c>
      <c r="E24">
        <f t="shared" si="0"/>
        <v>4.0564373897707229E-2</v>
      </c>
      <c r="F24" s="1">
        <f t="shared" ref="F24" si="11">AVERAGE(E24:E25)</f>
        <v>0.14365881032547698</v>
      </c>
    </row>
    <row r="25" spans="1:6" x14ac:dyDescent="0.35">
      <c r="A25">
        <v>11</v>
      </c>
      <c r="B25">
        <v>30</v>
      </c>
      <c r="C25">
        <v>7</v>
      </c>
      <c r="D25" t="s">
        <v>5</v>
      </c>
      <c r="E25">
        <f t="shared" si="0"/>
        <v>0.24675324675324672</v>
      </c>
      <c r="F25" s="1"/>
    </row>
    <row r="26" spans="1:6" x14ac:dyDescent="0.35">
      <c r="A26">
        <v>78</v>
      </c>
      <c r="B26">
        <v>80</v>
      </c>
      <c r="C26">
        <v>162</v>
      </c>
      <c r="D26" t="s">
        <v>4</v>
      </c>
      <c r="E26">
        <f t="shared" si="0"/>
        <v>1.5827793605571326E-4</v>
      </c>
      <c r="F26" s="1">
        <f t="shared" ref="F26" si="12">AVERAGE(E26:E27)</f>
        <v>5.1361190250079146E-2</v>
      </c>
    </row>
    <row r="27" spans="1:6" x14ac:dyDescent="0.35">
      <c r="A27">
        <v>15</v>
      </c>
      <c r="B27">
        <v>35</v>
      </c>
      <c r="C27">
        <v>13</v>
      </c>
      <c r="D27" t="s">
        <v>5</v>
      </c>
      <c r="E27">
        <f t="shared" si="0"/>
        <v>0.10256410256410257</v>
      </c>
      <c r="F27" s="1"/>
    </row>
    <row r="28" spans="1:6" x14ac:dyDescent="0.35">
      <c r="A28">
        <v>78</v>
      </c>
      <c r="B28">
        <v>80</v>
      </c>
      <c r="C28">
        <v>162</v>
      </c>
      <c r="D28" t="s">
        <v>4</v>
      </c>
      <c r="E28">
        <f t="shared" si="0"/>
        <v>1.5827793605571326E-4</v>
      </c>
      <c r="F28" s="1">
        <f t="shared" ref="F28" si="13">AVERAGE(E28:E29)</f>
        <v>2.036132591688147E-2</v>
      </c>
    </row>
    <row r="29" spans="1:6" x14ac:dyDescent="0.35">
      <c r="A29">
        <v>27</v>
      </c>
      <c r="B29">
        <v>50</v>
      </c>
      <c r="C29">
        <v>21</v>
      </c>
      <c r="D29" t="s">
        <v>5</v>
      </c>
      <c r="E29">
        <f t="shared" si="0"/>
        <v>4.0564373897707229E-2</v>
      </c>
      <c r="F29" s="1"/>
    </row>
    <row r="30" spans="1:6" x14ac:dyDescent="0.35">
      <c r="A30">
        <v>67</v>
      </c>
      <c r="B30">
        <v>75</v>
      </c>
      <c r="C30">
        <v>119</v>
      </c>
      <c r="D30" t="s">
        <v>4</v>
      </c>
      <c r="E30">
        <f t="shared" si="0"/>
        <v>1.0033864291985443E-3</v>
      </c>
      <c r="F30" s="1">
        <f t="shared" ref="F30" si="14">AVERAGE(E30:E31)</f>
        <v>5.1783744496650561E-2</v>
      </c>
    </row>
    <row r="31" spans="1:6" x14ac:dyDescent="0.35">
      <c r="A31">
        <v>15</v>
      </c>
      <c r="B31">
        <v>35</v>
      </c>
      <c r="C31">
        <v>13</v>
      </c>
      <c r="D31" t="s">
        <v>5</v>
      </c>
      <c r="E31">
        <f t="shared" si="0"/>
        <v>0.10256410256410257</v>
      </c>
      <c r="F31" s="1"/>
    </row>
    <row r="32" spans="1:6" x14ac:dyDescent="0.35">
      <c r="A32">
        <v>49</v>
      </c>
      <c r="B32">
        <v>60</v>
      </c>
      <c r="C32">
        <v>89</v>
      </c>
      <c r="D32" t="s">
        <v>4</v>
      </c>
      <c r="E32">
        <f t="shared" si="0"/>
        <v>2.522357257509746E-3</v>
      </c>
      <c r="F32" s="1">
        <f t="shared" ref="F32" si="15">AVERAGE(E32:E33)</f>
        <v>5.2543229910806163E-2</v>
      </c>
    </row>
    <row r="33" spans="1:6" x14ac:dyDescent="0.35">
      <c r="A33">
        <v>15</v>
      </c>
      <c r="B33">
        <v>35</v>
      </c>
      <c r="C33">
        <v>13</v>
      </c>
      <c r="D33" t="s">
        <v>5</v>
      </c>
      <c r="E33">
        <f t="shared" si="0"/>
        <v>0.10256410256410257</v>
      </c>
      <c r="F33" s="1"/>
    </row>
    <row r="34" spans="1:6" x14ac:dyDescent="0.35">
      <c r="A34">
        <v>67</v>
      </c>
      <c r="B34">
        <v>75</v>
      </c>
      <c r="C34">
        <v>119</v>
      </c>
      <c r="D34" t="s">
        <v>4</v>
      </c>
      <c r="E34">
        <f t="shared" si="0"/>
        <v>1.0033864291985443E-3</v>
      </c>
      <c r="F34" s="1">
        <f t="shared" ref="F34" si="16">AVERAGE(E34:E35)</f>
        <v>2.0783880163452888E-2</v>
      </c>
    </row>
    <row r="35" spans="1:6" x14ac:dyDescent="0.35">
      <c r="A35">
        <v>27</v>
      </c>
      <c r="B35">
        <v>50</v>
      </c>
      <c r="C35">
        <v>21</v>
      </c>
      <c r="D35" t="s">
        <v>5</v>
      </c>
      <c r="E35">
        <f t="shared" si="0"/>
        <v>4.0564373897707229E-2</v>
      </c>
      <c r="F35" s="1"/>
    </row>
    <row r="36" spans="1:6" x14ac:dyDescent="0.35">
      <c r="A36">
        <v>78</v>
      </c>
      <c r="B36">
        <v>80</v>
      </c>
      <c r="C36">
        <v>162</v>
      </c>
      <c r="D36" t="s">
        <v>4</v>
      </c>
      <c r="E36">
        <f t="shared" si="0"/>
        <v>1.5827793605571326E-4</v>
      </c>
      <c r="F36" s="1">
        <f t="shared" ref="F36" si="17">AVERAGE(E36:E37)</f>
        <v>0.12345576234465122</v>
      </c>
    </row>
    <row r="37" spans="1:6" x14ac:dyDescent="0.35">
      <c r="A37">
        <v>11</v>
      </c>
      <c r="B37">
        <v>30</v>
      </c>
      <c r="C37">
        <v>7</v>
      </c>
      <c r="D37" t="s">
        <v>5</v>
      </c>
      <c r="E37">
        <f t="shared" si="0"/>
        <v>0.24675324675324672</v>
      </c>
      <c r="F37" s="1"/>
    </row>
    <row r="38" spans="1:6" x14ac:dyDescent="0.35">
      <c r="A38">
        <v>78</v>
      </c>
      <c r="B38">
        <v>80</v>
      </c>
      <c r="C38">
        <v>162</v>
      </c>
      <c r="D38" t="s">
        <v>4</v>
      </c>
      <c r="E38">
        <f t="shared" si="0"/>
        <v>1.5827793605571326E-4</v>
      </c>
      <c r="F38" s="1">
        <f t="shared" ref="F38" si="18">AVERAGE(E38:E39)</f>
        <v>2.036132591688147E-2</v>
      </c>
    </row>
    <row r="39" spans="1:6" x14ac:dyDescent="0.35">
      <c r="A39">
        <v>27</v>
      </c>
      <c r="B39">
        <v>50</v>
      </c>
      <c r="C39">
        <v>21</v>
      </c>
      <c r="D39" t="s">
        <v>5</v>
      </c>
      <c r="E39">
        <f t="shared" si="0"/>
        <v>4.0564373897707229E-2</v>
      </c>
      <c r="F39" s="1"/>
    </row>
    <row r="40" spans="1:6" x14ac:dyDescent="0.35">
      <c r="A40">
        <v>40</v>
      </c>
      <c r="B40">
        <v>55</v>
      </c>
      <c r="C40">
        <v>62</v>
      </c>
      <c r="D40" t="s">
        <v>4</v>
      </c>
      <c r="E40">
        <f t="shared" si="0"/>
        <v>6.0483870967741934E-3</v>
      </c>
      <c r="F40" s="1">
        <f t="shared" ref="F40" si="19">AVERAGE(E40:E41)</f>
        <v>5.4306244830438381E-2</v>
      </c>
    </row>
    <row r="41" spans="1:6" x14ac:dyDescent="0.35">
      <c r="A41">
        <v>15</v>
      </c>
      <c r="B41">
        <v>35</v>
      </c>
      <c r="C41">
        <v>13</v>
      </c>
      <c r="D41" t="s">
        <v>5</v>
      </c>
      <c r="E41">
        <f t="shared" si="0"/>
        <v>0.10256410256410257</v>
      </c>
      <c r="F41" s="1"/>
    </row>
    <row r="42" spans="1:6" x14ac:dyDescent="0.35">
      <c r="A42">
        <v>78</v>
      </c>
      <c r="B42">
        <v>80</v>
      </c>
      <c r="C42">
        <v>162</v>
      </c>
      <c r="D42" t="s">
        <v>4</v>
      </c>
      <c r="E42">
        <f t="shared" si="0"/>
        <v>1.5827793605571326E-4</v>
      </c>
      <c r="F42" s="1">
        <f t="shared" ref="F42" si="20">AVERAGE(E42:E43)</f>
        <v>2.036132591688147E-2</v>
      </c>
    </row>
    <row r="43" spans="1:6" x14ac:dyDescent="0.35">
      <c r="A43">
        <v>27</v>
      </c>
      <c r="B43">
        <v>50</v>
      </c>
      <c r="C43">
        <v>21</v>
      </c>
      <c r="D43" t="s">
        <v>5</v>
      </c>
      <c r="E43">
        <f t="shared" si="0"/>
        <v>4.0564373897707229E-2</v>
      </c>
      <c r="F43" s="1"/>
    </row>
    <row r="44" spans="1:6" x14ac:dyDescent="0.35">
      <c r="A44">
        <v>49</v>
      </c>
      <c r="B44">
        <v>60</v>
      </c>
      <c r="C44">
        <v>89</v>
      </c>
      <c r="D44" t="s">
        <v>4</v>
      </c>
      <c r="E44">
        <f t="shared" si="0"/>
        <v>2.522357257509746E-3</v>
      </c>
      <c r="F44" s="1">
        <f t="shared" ref="F44" si="21">AVERAGE(E44:E45)</f>
        <v>0.12463780200537823</v>
      </c>
    </row>
    <row r="45" spans="1:6" x14ac:dyDescent="0.35">
      <c r="A45">
        <v>11</v>
      </c>
      <c r="B45">
        <v>30</v>
      </c>
      <c r="C45">
        <v>7</v>
      </c>
      <c r="D45" t="s">
        <v>5</v>
      </c>
      <c r="E45">
        <f t="shared" si="0"/>
        <v>0.24675324675324672</v>
      </c>
      <c r="F45" s="1"/>
    </row>
    <row r="46" spans="1:6" x14ac:dyDescent="0.35">
      <c r="A46">
        <v>49</v>
      </c>
      <c r="B46">
        <v>60</v>
      </c>
      <c r="C46">
        <v>89</v>
      </c>
      <c r="D46" t="s">
        <v>4</v>
      </c>
      <c r="E46">
        <f t="shared" si="0"/>
        <v>2.522357257509746E-3</v>
      </c>
      <c r="F46" s="1">
        <f t="shared" ref="F46" si="22">AVERAGE(E46:E47)</f>
        <v>0.12463780200537823</v>
      </c>
    </row>
    <row r="47" spans="1:6" x14ac:dyDescent="0.35">
      <c r="A47">
        <v>11</v>
      </c>
      <c r="B47">
        <v>30</v>
      </c>
      <c r="C47">
        <v>7</v>
      </c>
      <c r="D47" t="s">
        <v>5</v>
      </c>
      <c r="E47">
        <f t="shared" si="0"/>
        <v>0.24675324675324672</v>
      </c>
      <c r="F47" s="1"/>
    </row>
    <row r="48" spans="1:6" x14ac:dyDescent="0.35">
      <c r="A48">
        <v>40</v>
      </c>
      <c r="B48">
        <v>55</v>
      </c>
      <c r="C48">
        <v>62</v>
      </c>
      <c r="D48" t="s">
        <v>4</v>
      </c>
      <c r="E48">
        <f t="shared" si="0"/>
        <v>6.0483870967741934E-3</v>
      </c>
      <c r="F48" s="1">
        <f t="shared" ref="F48" si="23">AVERAGE(E48:E49)</f>
        <v>0.12640081692501046</v>
      </c>
    </row>
    <row r="49" spans="1:6" x14ac:dyDescent="0.35">
      <c r="A49">
        <v>11</v>
      </c>
      <c r="B49">
        <v>30</v>
      </c>
      <c r="C49">
        <v>7</v>
      </c>
      <c r="D49" t="s">
        <v>5</v>
      </c>
      <c r="E49">
        <f t="shared" si="0"/>
        <v>0.24675324675324672</v>
      </c>
      <c r="F49" s="1"/>
    </row>
    <row r="50" spans="1:6" x14ac:dyDescent="0.35">
      <c r="A50">
        <v>49</v>
      </c>
      <c r="B50">
        <v>60</v>
      </c>
      <c r="C50">
        <v>89</v>
      </c>
      <c r="D50" t="s">
        <v>4</v>
      </c>
      <c r="E50">
        <f t="shared" si="0"/>
        <v>2.522357257509746E-3</v>
      </c>
      <c r="F50" s="1">
        <f t="shared" ref="F50" si="24">AVERAGE(E50:E51)</f>
        <v>5.2543229910806163E-2</v>
      </c>
    </row>
    <row r="51" spans="1:6" x14ac:dyDescent="0.35">
      <c r="A51">
        <v>15</v>
      </c>
      <c r="B51">
        <v>35</v>
      </c>
      <c r="C51">
        <v>13</v>
      </c>
      <c r="D51" t="s">
        <v>5</v>
      </c>
      <c r="E51">
        <f t="shared" si="0"/>
        <v>0.10256410256410257</v>
      </c>
      <c r="F51" s="1"/>
    </row>
    <row r="52" spans="1:6" x14ac:dyDescent="0.35">
      <c r="A52">
        <v>67</v>
      </c>
      <c r="B52">
        <v>75</v>
      </c>
      <c r="C52">
        <v>119</v>
      </c>
      <c r="D52" t="s">
        <v>4</v>
      </c>
      <c r="E52">
        <f t="shared" si="0"/>
        <v>1.0033864291985443E-3</v>
      </c>
      <c r="F52" s="1">
        <f t="shared" ref="F52" si="25">AVERAGE(E52:E53)</f>
        <v>3.5258867629863687E-3</v>
      </c>
    </row>
    <row r="53" spans="1:6" x14ac:dyDescent="0.35">
      <c r="A53">
        <v>40</v>
      </c>
      <c r="B53">
        <v>55</v>
      </c>
      <c r="C53">
        <v>62</v>
      </c>
      <c r="D53" t="s">
        <v>5</v>
      </c>
      <c r="E53">
        <f t="shared" si="0"/>
        <v>6.0483870967741934E-3</v>
      </c>
      <c r="F53" s="1"/>
    </row>
    <row r="54" spans="1:6" x14ac:dyDescent="0.35">
      <c r="A54">
        <v>49</v>
      </c>
      <c r="B54">
        <v>60</v>
      </c>
      <c r="C54">
        <v>89</v>
      </c>
      <c r="D54" t="s">
        <v>4</v>
      </c>
      <c r="E54">
        <f t="shared" si="0"/>
        <v>2.522357257509746E-3</v>
      </c>
      <c r="F54" s="1">
        <f t="shared" ref="F54" si="26">AVERAGE(E54:E55)</f>
        <v>5.2543229910806163E-2</v>
      </c>
    </row>
    <row r="55" spans="1:6" x14ac:dyDescent="0.35">
      <c r="A55">
        <v>15</v>
      </c>
      <c r="B55">
        <v>35</v>
      </c>
      <c r="C55">
        <v>13</v>
      </c>
      <c r="D55" t="s">
        <v>5</v>
      </c>
      <c r="E55">
        <f t="shared" si="0"/>
        <v>0.10256410256410257</v>
      </c>
      <c r="F55" s="1"/>
    </row>
    <row r="56" spans="1:6" x14ac:dyDescent="0.35">
      <c r="A56">
        <v>78</v>
      </c>
      <c r="B56">
        <v>80</v>
      </c>
      <c r="C56">
        <v>162</v>
      </c>
      <c r="D56" t="s">
        <v>4</v>
      </c>
      <c r="E56">
        <f t="shared" si="0"/>
        <v>1.5827793605571326E-4</v>
      </c>
      <c r="F56" s="1">
        <f t="shared" ref="F56" si="27">AVERAGE(E56:E57)</f>
        <v>0.12345576234465122</v>
      </c>
    </row>
    <row r="57" spans="1:6" x14ac:dyDescent="0.35">
      <c r="A57">
        <v>11</v>
      </c>
      <c r="B57">
        <v>30</v>
      </c>
      <c r="C57">
        <v>7</v>
      </c>
      <c r="D57" t="s">
        <v>5</v>
      </c>
      <c r="E57">
        <f t="shared" si="0"/>
        <v>0.24675324675324672</v>
      </c>
      <c r="F57" s="1"/>
    </row>
    <row r="58" spans="1:6" x14ac:dyDescent="0.35">
      <c r="A58">
        <v>67</v>
      </c>
      <c r="B58">
        <v>75</v>
      </c>
      <c r="C58">
        <v>119</v>
      </c>
      <c r="D58" t="s">
        <v>4</v>
      </c>
      <c r="E58">
        <f t="shared" si="0"/>
        <v>1.0033864291985443E-3</v>
      </c>
      <c r="F58" s="1">
        <f t="shared" ref="F58" si="28">AVERAGE(E58:E59)</f>
        <v>2.0783880163452888E-2</v>
      </c>
    </row>
    <row r="59" spans="1:6" x14ac:dyDescent="0.35">
      <c r="A59">
        <v>27</v>
      </c>
      <c r="B59">
        <v>50</v>
      </c>
      <c r="C59">
        <v>21</v>
      </c>
      <c r="D59" t="s">
        <v>5</v>
      </c>
      <c r="E59">
        <f t="shared" si="0"/>
        <v>4.0564373897707229E-2</v>
      </c>
      <c r="F59" s="1"/>
    </row>
    <row r="60" spans="1:6" x14ac:dyDescent="0.35">
      <c r="A60">
        <v>40</v>
      </c>
      <c r="B60">
        <v>55</v>
      </c>
      <c r="C60">
        <v>62</v>
      </c>
      <c r="D60" t="s">
        <v>4</v>
      </c>
      <c r="E60">
        <f t="shared" si="0"/>
        <v>6.0483870967741934E-3</v>
      </c>
      <c r="F60" s="1">
        <f t="shared" ref="F60" si="29">AVERAGE(E60:E61)</f>
        <v>5.4306244830438381E-2</v>
      </c>
    </row>
    <row r="61" spans="1:6" x14ac:dyDescent="0.35">
      <c r="A61">
        <v>15</v>
      </c>
      <c r="B61">
        <v>35</v>
      </c>
      <c r="C61">
        <v>13</v>
      </c>
      <c r="D61" t="s">
        <v>5</v>
      </c>
      <c r="E61">
        <f t="shared" si="0"/>
        <v>0.10256410256410257</v>
      </c>
      <c r="F61" s="1"/>
    </row>
    <row r="62" spans="1:6" x14ac:dyDescent="0.35">
      <c r="A62">
        <v>27</v>
      </c>
      <c r="B62">
        <v>50</v>
      </c>
      <c r="C62">
        <v>21</v>
      </c>
      <c r="D62" t="s">
        <v>4</v>
      </c>
      <c r="E62">
        <f t="shared" si="0"/>
        <v>4.0564373897707229E-2</v>
      </c>
      <c r="F62" s="1">
        <f t="shared" ref="F62" si="30">AVERAGE(E62:E63)</f>
        <v>0.14365881032547698</v>
      </c>
    </row>
    <row r="63" spans="1:6" x14ac:dyDescent="0.35">
      <c r="A63">
        <v>11</v>
      </c>
      <c r="B63">
        <v>30</v>
      </c>
      <c r="C63">
        <v>7</v>
      </c>
      <c r="D63" t="s">
        <v>5</v>
      </c>
      <c r="E63">
        <f t="shared" si="0"/>
        <v>0.24675324675324672</v>
      </c>
      <c r="F63" s="1"/>
    </row>
    <row r="64" spans="1:6" x14ac:dyDescent="0.35">
      <c r="E64" s="2" t="s">
        <v>8</v>
      </c>
      <c r="F64">
        <f>AVERAGE(F2:F63)</f>
        <v>6.5808753356607991E-2</v>
      </c>
    </row>
  </sheetData>
  <mergeCells count="31">
    <mergeCell ref="F62:F63"/>
    <mergeCell ref="F50:F51"/>
    <mergeCell ref="F52:F53"/>
    <mergeCell ref="F54:F55"/>
    <mergeCell ref="F56:F57"/>
    <mergeCell ref="F58:F59"/>
    <mergeCell ref="F60:F61"/>
    <mergeCell ref="F38:F39"/>
    <mergeCell ref="F40:F41"/>
    <mergeCell ref="F42:F43"/>
    <mergeCell ref="F44:F45"/>
    <mergeCell ref="F46:F47"/>
    <mergeCell ref="F48:F49"/>
    <mergeCell ref="F26:F27"/>
    <mergeCell ref="F28:F29"/>
    <mergeCell ref="F30:F31"/>
    <mergeCell ref="F32:F33"/>
    <mergeCell ref="F34:F35"/>
    <mergeCell ref="F36:F37"/>
    <mergeCell ref="F14:F15"/>
    <mergeCell ref="F16:F17"/>
    <mergeCell ref="F18:F19"/>
    <mergeCell ref="F20:F21"/>
    <mergeCell ref="F22:F23"/>
    <mergeCell ref="F24:F25"/>
    <mergeCell ref="F2:F3"/>
    <mergeCell ref="F4:F5"/>
    <mergeCell ref="F6:F7"/>
    <mergeCell ref="F8:F9"/>
    <mergeCell ref="F10:F11"/>
    <mergeCell ref="F12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D032-1B15-469F-B30C-671569E7393B}">
  <dimension ref="A1:F60"/>
  <sheetViews>
    <sheetView zoomScale="107" workbookViewId="0">
      <selection activeCell="E2" sqref="E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14</v>
      </c>
    </row>
    <row r="2" spans="1:6" x14ac:dyDescent="0.35">
      <c r="A2">
        <v>49</v>
      </c>
      <c r="B2">
        <v>60</v>
      </c>
      <c r="C2">
        <v>89</v>
      </c>
      <c r="D2" t="s">
        <v>4</v>
      </c>
      <c r="E2">
        <f>((B2/A2)-1)/C2</f>
        <v>2.522357257509746E-3</v>
      </c>
      <c r="F2" s="1">
        <f>AVERAGE(E2:E3)</f>
        <v>2.1543365577608487E-2</v>
      </c>
    </row>
    <row r="3" spans="1:6" x14ac:dyDescent="0.35">
      <c r="A3">
        <v>27</v>
      </c>
      <c r="B3">
        <v>50</v>
      </c>
      <c r="C3">
        <v>21</v>
      </c>
      <c r="D3" t="s">
        <v>5</v>
      </c>
      <c r="E3">
        <f t="shared" ref="E3:E59" si="0">((B3/A3)-1)/C3</f>
        <v>4.0564373897707229E-2</v>
      </c>
      <c r="F3" s="1"/>
    </row>
    <row r="4" spans="1:6" x14ac:dyDescent="0.35">
      <c r="A4">
        <v>40</v>
      </c>
      <c r="B4">
        <v>55</v>
      </c>
      <c r="C4">
        <v>62</v>
      </c>
      <c r="D4" t="s">
        <v>4</v>
      </c>
      <c r="E4">
        <f t="shared" si="0"/>
        <v>6.0483870967741934E-3</v>
      </c>
      <c r="F4" s="1">
        <f t="shared" ref="F4" si="1">AVERAGE(E4:E5)</f>
        <v>0.12640081692501046</v>
      </c>
    </row>
    <row r="5" spans="1:6" x14ac:dyDescent="0.35">
      <c r="A5">
        <v>11</v>
      </c>
      <c r="B5">
        <v>30</v>
      </c>
      <c r="C5">
        <v>7</v>
      </c>
      <c r="D5" t="s">
        <v>5</v>
      </c>
      <c r="E5">
        <f t="shared" si="0"/>
        <v>0.24675324675324672</v>
      </c>
      <c r="F5" s="1"/>
    </row>
    <row r="6" spans="1:6" x14ac:dyDescent="0.35">
      <c r="A6">
        <v>67</v>
      </c>
      <c r="B6">
        <v>75</v>
      </c>
      <c r="C6">
        <v>119</v>
      </c>
      <c r="D6" t="s">
        <v>4</v>
      </c>
      <c r="E6">
        <f t="shared" si="0"/>
        <v>1.0033864291985443E-3</v>
      </c>
      <c r="F6" s="1">
        <f t="shared" ref="F6" si="2">AVERAGE(E6:E7)</f>
        <v>5.1783744496650561E-2</v>
      </c>
    </row>
    <row r="7" spans="1:6" x14ac:dyDescent="0.35">
      <c r="A7">
        <v>15</v>
      </c>
      <c r="B7">
        <v>35</v>
      </c>
      <c r="C7">
        <v>13</v>
      </c>
      <c r="D7" t="s">
        <v>5</v>
      </c>
      <c r="E7">
        <f t="shared" si="0"/>
        <v>0.10256410256410257</v>
      </c>
      <c r="F7" s="1"/>
    </row>
    <row r="8" spans="1:6" x14ac:dyDescent="0.35">
      <c r="A8">
        <v>49</v>
      </c>
      <c r="B8">
        <v>60</v>
      </c>
      <c r="C8">
        <v>89</v>
      </c>
      <c r="D8" t="s">
        <v>4</v>
      </c>
      <c r="E8">
        <f t="shared" si="0"/>
        <v>2.522357257509746E-3</v>
      </c>
      <c r="F8" s="1">
        <f t="shared" ref="F8" si="3">AVERAGE(E8:E9)</f>
        <v>2.1543365577608487E-2</v>
      </c>
    </row>
    <row r="9" spans="1:6" x14ac:dyDescent="0.35">
      <c r="A9">
        <v>27</v>
      </c>
      <c r="B9">
        <v>50</v>
      </c>
      <c r="C9">
        <v>21</v>
      </c>
      <c r="D9" t="s">
        <v>5</v>
      </c>
      <c r="E9">
        <f t="shared" si="0"/>
        <v>4.0564373897707229E-2</v>
      </c>
      <c r="F9" s="1"/>
    </row>
    <row r="10" spans="1:6" x14ac:dyDescent="0.35">
      <c r="A10">
        <v>78</v>
      </c>
      <c r="B10">
        <v>80</v>
      </c>
      <c r="C10">
        <v>162</v>
      </c>
      <c r="D10" t="s">
        <v>4</v>
      </c>
      <c r="E10">
        <f t="shared" si="0"/>
        <v>1.5827793605571326E-4</v>
      </c>
      <c r="F10" s="1">
        <f t="shared" ref="F10" si="4">AVERAGE(E10:E11)</f>
        <v>5.1361190250079146E-2</v>
      </c>
    </row>
    <row r="11" spans="1:6" x14ac:dyDescent="0.35">
      <c r="A11">
        <v>15</v>
      </c>
      <c r="B11">
        <v>35</v>
      </c>
      <c r="C11">
        <v>13</v>
      </c>
      <c r="D11" t="s">
        <v>5</v>
      </c>
      <c r="E11">
        <f t="shared" si="0"/>
        <v>0.10256410256410257</v>
      </c>
      <c r="F11" s="1"/>
    </row>
    <row r="12" spans="1:6" x14ac:dyDescent="0.35">
      <c r="A12">
        <v>49</v>
      </c>
      <c r="B12">
        <v>60</v>
      </c>
      <c r="C12">
        <v>89</v>
      </c>
      <c r="D12" t="s">
        <v>4</v>
      </c>
      <c r="E12">
        <f t="shared" si="0"/>
        <v>2.522357257509746E-3</v>
      </c>
      <c r="F12" s="1">
        <f t="shared" ref="F12" si="5">AVERAGE(E12:E13)</f>
        <v>4.2853721771419695E-3</v>
      </c>
    </row>
    <row r="13" spans="1:6" x14ac:dyDescent="0.35">
      <c r="A13">
        <v>40</v>
      </c>
      <c r="B13">
        <v>55</v>
      </c>
      <c r="C13">
        <v>62</v>
      </c>
      <c r="D13" t="s">
        <v>5</v>
      </c>
      <c r="E13">
        <f t="shared" si="0"/>
        <v>6.0483870967741934E-3</v>
      </c>
      <c r="F13" s="1"/>
    </row>
    <row r="14" spans="1:6" x14ac:dyDescent="0.35">
      <c r="A14">
        <v>78</v>
      </c>
      <c r="B14">
        <v>80</v>
      </c>
      <c r="C14">
        <v>162</v>
      </c>
      <c r="D14" t="s">
        <v>4</v>
      </c>
      <c r="E14">
        <f t="shared" si="0"/>
        <v>1.5827793605571326E-4</v>
      </c>
      <c r="F14" s="1">
        <f t="shared" ref="F14" si="6">AVERAGE(E14:E15)</f>
        <v>0.12345576234465122</v>
      </c>
    </row>
    <row r="15" spans="1:6" x14ac:dyDescent="0.35">
      <c r="A15">
        <v>11</v>
      </c>
      <c r="B15">
        <v>30</v>
      </c>
      <c r="C15">
        <v>7</v>
      </c>
      <c r="D15" t="s">
        <v>5</v>
      </c>
      <c r="E15">
        <f t="shared" si="0"/>
        <v>0.24675324675324672</v>
      </c>
      <c r="F15" s="1"/>
    </row>
    <row r="16" spans="1:6" x14ac:dyDescent="0.35">
      <c r="A16">
        <v>67</v>
      </c>
      <c r="B16">
        <v>75</v>
      </c>
      <c r="C16">
        <v>119</v>
      </c>
      <c r="D16" t="s">
        <v>4</v>
      </c>
      <c r="E16">
        <f t="shared" si="0"/>
        <v>1.0033864291985443E-3</v>
      </c>
      <c r="F16" s="1">
        <f t="shared" ref="F16" si="7">AVERAGE(E16:E17)</f>
        <v>0.12387831659122263</v>
      </c>
    </row>
    <row r="17" spans="1:6" x14ac:dyDescent="0.35">
      <c r="A17">
        <v>11</v>
      </c>
      <c r="B17">
        <v>30</v>
      </c>
      <c r="C17">
        <v>7</v>
      </c>
      <c r="D17" t="s">
        <v>5</v>
      </c>
      <c r="E17">
        <f t="shared" si="0"/>
        <v>0.24675324675324672</v>
      </c>
      <c r="F17" s="1"/>
    </row>
    <row r="18" spans="1:6" x14ac:dyDescent="0.35">
      <c r="A18">
        <v>49</v>
      </c>
      <c r="B18">
        <v>60</v>
      </c>
      <c r="C18">
        <v>89</v>
      </c>
      <c r="D18" t="s">
        <v>4</v>
      </c>
      <c r="E18">
        <f t="shared" si="0"/>
        <v>2.522357257509746E-3</v>
      </c>
      <c r="F18" s="1">
        <f t="shared" ref="F18" si="8">AVERAGE(E18:E19)</f>
        <v>2.1543365577608487E-2</v>
      </c>
    </row>
    <row r="19" spans="1:6" x14ac:dyDescent="0.35">
      <c r="A19">
        <v>27</v>
      </c>
      <c r="B19">
        <v>50</v>
      </c>
      <c r="C19">
        <v>21</v>
      </c>
      <c r="D19" t="s">
        <v>5</v>
      </c>
      <c r="E19">
        <f t="shared" si="0"/>
        <v>4.0564373897707229E-2</v>
      </c>
      <c r="F19" s="1"/>
    </row>
    <row r="20" spans="1:6" x14ac:dyDescent="0.35">
      <c r="A20">
        <v>49</v>
      </c>
      <c r="B20">
        <v>60</v>
      </c>
      <c r="C20">
        <v>89</v>
      </c>
      <c r="D20" t="s">
        <v>4</v>
      </c>
      <c r="E20">
        <f t="shared" si="0"/>
        <v>2.522357257509746E-3</v>
      </c>
      <c r="F20" s="1">
        <f t="shared" ref="F20" si="9">AVERAGE(E20:E21)</f>
        <v>1.3403175967827297E-3</v>
      </c>
    </row>
    <row r="21" spans="1:6" x14ac:dyDescent="0.35">
      <c r="A21">
        <v>78</v>
      </c>
      <c r="B21">
        <v>80</v>
      </c>
      <c r="C21">
        <v>162</v>
      </c>
      <c r="D21" t="s">
        <v>5</v>
      </c>
      <c r="E21">
        <f t="shared" si="0"/>
        <v>1.5827793605571326E-4</v>
      </c>
      <c r="F21" s="1"/>
    </row>
    <row r="22" spans="1:6" x14ac:dyDescent="0.35">
      <c r="A22">
        <v>40</v>
      </c>
      <c r="B22">
        <v>55</v>
      </c>
      <c r="C22">
        <v>62</v>
      </c>
      <c r="D22" t="s">
        <v>4</v>
      </c>
      <c r="E22">
        <f t="shared" si="0"/>
        <v>6.0483870967741934E-3</v>
      </c>
      <c r="F22" s="1">
        <f t="shared" ref="F22" si="10">AVERAGE(E22:E23)</f>
        <v>0.12640081692501046</v>
      </c>
    </row>
    <row r="23" spans="1:6" x14ac:dyDescent="0.35">
      <c r="A23">
        <v>11</v>
      </c>
      <c r="B23">
        <v>30</v>
      </c>
      <c r="C23">
        <v>7</v>
      </c>
      <c r="D23" t="s">
        <v>5</v>
      </c>
      <c r="E23">
        <f t="shared" si="0"/>
        <v>0.24675324675324672</v>
      </c>
      <c r="F23" s="1"/>
    </row>
    <row r="24" spans="1:6" x14ac:dyDescent="0.35">
      <c r="A24">
        <v>67</v>
      </c>
      <c r="B24">
        <v>75</v>
      </c>
      <c r="C24">
        <v>119</v>
      </c>
      <c r="D24" t="s">
        <v>4</v>
      </c>
      <c r="E24">
        <f t="shared" si="0"/>
        <v>1.0033864291985443E-3</v>
      </c>
      <c r="F24" s="1">
        <f t="shared" ref="F24" si="11">AVERAGE(E24:E25)</f>
        <v>0.12387831659122263</v>
      </c>
    </row>
    <row r="25" spans="1:6" x14ac:dyDescent="0.35">
      <c r="A25">
        <v>11</v>
      </c>
      <c r="B25">
        <v>30</v>
      </c>
      <c r="C25">
        <v>7</v>
      </c>
      <c r="D25" t="s">
        <v>5</v>
      </c>
      <c r="E25">
        <f t="shared" si="0"/>
        <v>0.24675324675324672</v>
      </c>
      <c r="F25" s="1"/>
    </row>
    <row r="26" spans="1:6" x14ac:dyDescent="0.35">
      <c r="A26">
        <v>67</v>
      </c>
      <c r="B26">
        <v>75</v>
      </c>
      <c r="C26">
        <v>119</v>
      </c>
      <c r="D26" t="s">
        <v>4</v>
      </c>
      <c r="E26">
        <f t="shared" si="0"/>
        <v>1.0033864291985443E-3</v>
      </c>
      <c r="F26" s="1">
        <f t="shared" ref="F26" si="12">AVERAGE(E26:E27)</f>
        <v>3.5258867629863687E-3</v>
      </c>
    </row>
    <row r="27" spans="1:6" x14ac:dyDescent="0.35">
      <c r="A27">
        <v>40</v>
      </c>
      <c r="B27">
        <v>55</v>
      </c>
      <c r="C27">
        <v>62</v>
      </c>
      <c r="D27" t="s">
        <v>5</v>
      </c>
      <c r="E27">
        <f t="shared" si="0"/>
        <v>6.0483870967741934E-3</v>
      </c>
      <c r="F27" s="1"/>
    </row>
    <row r="28" spans="1:6" x14ac:dyDescent="0.35">
      <c r="A28">
        <v>78</v>
      </c>
      <c r="B28">
        <v>80</v>
      </c>
      <c r="C28">
        <v>162</v>
      </c>
      <c r="D28" t="s">
        <v>4</v>
      </c>
      <c r="E28">
        <f t="shared" si="0"/>
        <v>1.5827793605571326E-4</v>
      </c>
      <c r="F28" s="1">
        <f t="shared" ref="F28" si="13">AVERAGE(E28:E29)</f>
        <v>0.12345576234465122</v>
      </c>
    </row>
    <row r="29" spans="1:6" x14ac:dyDescent="0.35">
      <c r="A29">
        <v>11</v>
      </c>
      <c r="B29">
        <v>30</v>
      </c>
      <c r="C29">
        <v>7</v>
      </c>
      <c r="D29" t="s">
        <v>5</v>
      </c>
      <c r="E29">
        <f t="shared" si="0"/>
        <v>0.24675324675324672</v>
      </c>
      <c r="F29" s="1"/>
    </row>
    <row r="30" spans="1:6" x14ac:dyDescent="0.35">
      <c r="A30">
        <v>15</v>
      </c>
      <c r="B30">
        <v>35</v>
      </c>
      <c r="C30">
        <v>13</v>
      </c>
      <c r="D30" t="s">
        <v>4</v>
      </c>
      <c r="E30">
        <f t="shared" si="0"/>
        <v>0.10256410256410257</v>
      </c>
      <c r="F30" s="1">
        <f t="shared" ref="F30" si="14">AVERAGE(E30:E31)</f>
        <v>0.17465867465867466</v>
      </c>
    </row>
    <row r="31" spans="1:6" x14ac:dyDescent="0.35">
      <c r="A31">
        <v>11</v>
      </c>
      <c r="B31">
        <v>30</v>
      </c>
      <c r="C31">
        <v>7</v>
      </c>
      <c r="D31" t="s">
        <v>5</v>
      </c>
      <c r="E31">
        <f t="shared" si="0"/>
        <v>0.24675324675324672</v>
      </c>
      <c r="F31" s="1"/>
    </row>
    <row r="32" spans="1:6" x14ac:dyDescent="0.35">
      <c r="A32">
        <v>27</v>
      </c>
      <c r="B32">
        <v>50</v>
      </c>
      <c r="C32">
        <v>21</v>
      </c>
      <c r="D32" t="s">
        <v>4</v>
      </c>
      <c r="E32">
        <f t="shared" si="0"/>
        <v>4.0564373897707229E-2</v>
      </c>
      <c r="F32" s="1">
        <f t="shared" ref="F32" si="15">AVERAGE(E32:E33)</f>
        <v>0.14365881032547698</v>
      </c>
    </row>
    <row r="33" spans="1:6" x14ac:dyDescent="0.35">
      <c r="A33">
        <v>11</v>
      </c>
      <c r="B33">
        <v>30</v>
      </c>
      <c r="C33">
        <v>7</v>
      </c>
      <c r="D33" t="s">
        <v>5</v>
      </c>
      <c r="E33">
        <f t="shared" si="0"/>
        <v>0.24675324675324672</v>
      </c>
      <c r="F33" s="1"/>
    </row>
    <row r="34" spans="1:6" x14ac:dyDescent="0.35">
      <c r="A34">
        <v>49</v>
      </c>
      <c r="B34">
        <v>60</v>
      </c>
      <c r="C34">
        <v>89</v>
      </c>
      <c r="D34" t="s">
        <v>4</v>
      </c>
      <c r="E34">
        <f t="shared" si="0"/>
        <v>2.522357257509746E-3</v>
      </c>
      <c r="F34" s="1">
        <f t="shared" ref="F34" si="16">AVERAGE(E34:E35)</f>
        <v>5.2543229910806163E-2</v>
      </c>
    </row>
    <row r="35" spans="1:6" x14ac:dyDescent="0.35">
      <c r="A35">
        <v>15</v>
      </c>
      <c r="B35">
        <v>35</v>
      </c>
      <c r="C35">
        <v>13</v>
      </c>
      <c r="D35" t="s">
        <v>5</v>
      </c>
      <c r="E35">
        <f t="shared" si="0"/>
        <v>0.10256410256410257</v>
      </c>
      <c r="F35" s="1"/>
    </row>
    <row r="36" spans="1:6" x14ac:dyDescent="0.35">
      <c r="A36">
        <v>78</v>
      </c>
      <c r="B36">
        <v>80</v>
      </c>
      <c r="C36">
        <v>162</v>
      </c>
      <c r="D36" t="s">
        <v>4</v>
      </c>
      <c r="E36">
        <f t="shared" si="0"/>
        <v>1.5827793605571326E-4</v>
      </c>
      <c r="F36" s="1">
        <f t="shared" ref="F36" si="17">AVERAGE(E36:E37)</f>
        <v>2.036132591688147E-2</v>
      </c>
    </row>
    <row r="37" spans="1:6" x14ac:dyDescent="0.35">
      <c r="A37">
        <v>27</v>
      </c>
      <c r="B37">
        <v>50</v>
      </c>
      <c r="C37">
        <v>21</v>
      </c>
      <c r="D37" t="s">
        <v>5</v>
      </c>
      <c r="E37">
        <f t="shared" si="0"/>
        <v>4.0564373897707229E-2</v>
      </c>
      <c r="F37" s="1"/>
    </row>
    <row r="38" spans="1:6" x14ac:dyDescent="0.35">
      <c r="A38">
        <v>49</v>
      </c>
      <c r="B38">
        <v>60</v>
      </c>
      <c r="C38">
        <v>89</v>
      </c>
      <c r="D38" t="s">
        <v>4</v>
      </c>
      <c r="E38">
        <f t="shared" si="0"/>
        <v>2.522357257509746E-3</v>
      </c>
      <c r="F38" s="1">
        <f t="shared" ref="F38" si="18">AVERAGE(E38:E39)</f>
        <v>0.12463780200537823</v>
      </c>
    </row>
    <row r="39" spans="1:6" x14ac:dyDescent="0.35">
      <c r="A39">
        <v>11</v>
      </c>
      <c r="B39">
        <v>30</v>
      </c>
      <c r="C39">
        <v>7</v>
      </c>
      <c r="D39" t="s">
        <v>5</v>
      </c>
      <c r="E39">
        <f t="shared" si="0"/>
        <v>0.24675324675324672</v>
      </c>
      <c r="F39" s="1"/>
    </row>
    <row r="40" spans="1:6" x14ac:dyDescent="0.35">
      <c r="A40">
        <v>40</v>
      </c>
      <c r="B40">
        <v>55</v>
      </c>
      <c r="C40">
        <v>62</v>
      </c>
      <c r="D40" t="s">
        <v>4</v>
      </c>
      <c r="E40">
        <f t="shared" si="0"/>
        <v>6.0483870967741934E-3</v>
      </c>
      <c r="F40" s="1">
        <f t="shared" ref="F40" si="19">AVERAGE(E40:E41)</f>
        <v>5.4306244830438381E-2</v>
      </c>
    </row>
    <row r="41" spans="1:6" x14ac:dyDescent="0.35">
      <c r="A41">
        <v>15</v>
      </c>
      <c r="B41">
        <v>35</v>
      </c>
      <c r="C41">
        <v>13</v>
      </c>
      <c r="D41" t="s">
        <v>5</v>
      </c>
      <c r="E41">
        <f t="shared" si="0"/>
        <v>0.10256410256410257</v>
      </c>
      <c r="F41" s="1"/>
    </row>
    <row r="42" spans="1:6" x14ac:dyDescent="0.35">
      <c r="A42">
        <v>78</v>
      </c>
      <c r="B42">
        <v>80</v>
      </c>
      <c r="C42">
        <v>162</v>
      </c>
      <c r="D42" t="s">
        <v>4</v>
      </c>
      <c r="E42">
        <f t="shared" si="0"/>
        <v>1.5827793605571326E-4</v>
      </c>
      <c r="F42" s="1">
        <f t="shared" ref="F42" si="20">AVERAGE(E42:E43)</f>
        <v>0.12345576234465122</v>
      </c>
    </row>
    <row r="43" spans="1:6" x14ac:dyDescent="0.35">
      <c r="A43">
        <v>11</v>
      </c>
      <c r="B43">
        <v>30</v>
      </c>
      <c r="C43">
        <v>7</v>
      </c>
      <c r="D43" t="s">
        <v>5</v>
      </c>
      <c r="E43">
        <f t="shared" si="0"/>
        <v>0.24675324675324672</v>
      </c>
      <c r="F43" s="1"/>
    </row>
    <row r="44" spans="1:6" x14ac:dyDescent="0.35">
      <c r="A44">
        <v>67</v>
      </c>
      <c r="B44">
        <v>75</v>
      </c>
      <c r="C44">
        <v>119</v>
      </c>
      <c r="D44" t="s">
        <v>4</v>
      </c>
      <c r="E44">
        <f t="shared" si="0"/>
        <v>1.0033864291985443E-3</v>
      </c>
      <c r="F44" s="1">
        <f t="shared" ref="F44" si="21">AVERAGE(E44:E45)</f>
        <v>5.1783744496650561E-2</v>
      </c>
    </row>
    <row r="45" spans="1:6" x14ac:dyDescent="0.35">
      <c r="A45">
        <v>15</v>
      </c>
      <c r="B45">
        <v>35</v>
      </c>
      <c r="C45">
        <v>13</v>
      </c>
      <c r="D45" t="s">
        <v>5</v>
      </c>
      <c r="E45">
        <f t="shared" si="0"/>
        <v>0.10256410256410257</v>
      </c>
      <c r="F45" s="1"/>
    </row>
    <row r="46" spans="1:6" x14ac:dyDescent="0.35">
      <c r="A46">
        <v>27</v>
      </c>
      <c r="B46">
        <v>50</v>
      </c>
      <c r="C46">
        <v>21</v>
      </c>
      <c r="D46" t="s">
        <v>4</v>
      </c>
      <c r="E46">
        <f t="shared" si="0"/>
        <v>4.0564373897707229E-2</v>
      </c>
      <c r="F46" s="1">
        <f t="shared" ref="F46" si="22">AVERAGE(E46:E47)</f>
        <v>0.14365881032547698</v>
      </c>
    </row>
    <row r="47" spans="1:6" x14ac:dyDescent="0.35">
      <c r="A47">
        <v>11</v>
      </c>
      <c r="B47">
        <v>30</v>
      </c>
      <c r="C47">
        <v>7</v>
      </c>
      <c r="D47" t="s">
        <v>5</v>
      </c>
      <c r="E47">
        <f t="shared" si="0"/>
        <v>0.24675324675324672</v>
      </c>
      <c r="F47" s="1"/>
    </row>
    <row r="48" spans="1:6" x14ac:dyDescent="0.35">
      <c r="A48">
        <v>67</v>
      </c>
      <c r="B48">
        <v>75</v>
      </c>
      <c r="C48">
        <v>119</v>
      </c>
      <c r="D48" t="s">
        <v>4</v>
      </c>
      <c r="E48">
        <f t="shared" si="0"/>
        <v>1.0033864291985443E-3</v>
      </c>
      <c r="F48" s="1">
        <f t="shared" ref="F48" si="23">AVERAGE(E48:E49)</f>
        <v>5.1783744496650561E-2</v>
      </c>
    </row>
    <row r="49" spans="1:6" x14ac:dyDescent="0.35">
      <c r="A49">
        <v>15</v>
      </c>
      <c r="B49">
        <v>35</v>
      </c>
      <c r="C49">
        <v>13</v>
      </c>
      <c r="D49" t="s">
        <v>5</v>
      </c>
      <c r="E49">
        <f t="shared" si="0"/>
        <v>0.10256410256410257</v>
      </c>
      <c r="F49" s="1"/>
    </row>
    <row r="50" spans="1:6" x14ac:dyDescent="0.35">
      <c r="A50">
        <v>78</v>
      </c>
      <c r="B50">
        <v>80</v>
      </c>
      <c r="C50">
        <v>162</v>
      </c>
      <c r="D50" t="s">
        <v>4</v>
      </c>
      <c r="E50">
        <f t="shared" si="0"/>
        <v>1.5827793605571326E-4</v>
      </c>
      <c r="F50" s="1">
        <f t="shared" ref="F50" si="24">AVERAGE(E50:E51)</f>
        <v>2.036132591688147E-2</v>
      </c>
    </row>
    <row r="51" spans="1:6" x14ac:dyDescent="0.35">
      <c r="A51">
        <v>27</v>
      </c>
      <c r="B51">
        <v>50</v>
      </c>
      <c r="C51">
        <v>21</v>
      </c>
      <c r="D51" t="s">
        <v>5</v>
      </c>
      <c r="E51">
        <f t="shared" si="0"/>
        <v>4.0564373897707229E-2</v>
      </c>
      <c r="F51" s="1"/>
    </row>
    <row r="52" spans="1:6" x14ac:dyDescent="0.35">
      <c r="A52">
        <v>40</v>
      </c>
      <c r="B52">
        <v>55</v>
      </c>
      <c r="C52">
        <v>62</v>
      </c>
      <c r="D52" t="s">
        <v>4</v>
      </c>
      <c r="E52">
        <f t="shared" si="0"/>
        <v>6.0483870967741934E-3</v>
      </c>
      <c r="F52" s="1">
        <f t="shared" ref="F52" si="25">AVERAGE(E52:E53)</f>
        <v>5.4306244830438381E-2</v>
      </c>
    </row>
    <row r="53" spans="1:6" x14ac:dyDescent="0.35">
      <c r="A53">
        <v>15</v>
      </c>
      <c r="B53">
        <v>35</v>
      </c>
      <c r="C53">
        <v>13</v>
      </c>
      <c r="D53" t="s">
        <v>5</v>
      </c>
      <c r="E53">
        <f t="shared" si="0"/>
        <v>0.10256410256410257</v>
      </c>
      <c r="F53" s="1"/>
    </row>
    <row r="54" spans="1:6" x14ac:dyDescent="0.35">
      <c r="A54">
        <v>49</v>
      </c>
      <c r="B54">
        <v>60</v>
      </c>
      <c r="C54">
        <v>89</v>
      </c>
      <c r="D54" t="s">
        <v>4</v>
      </c>
      <c r="E54">
        <f t="shared" si="0"/>
        <v>2.522357257509746E-3</v>
      </c>
      <c r="F54" s="1">
        <f t="shared" ref="F54" si="26">AVERAGE(E54:E55)</f>
        <v>0.12463780200537823</v>
      </c>
    </row>
    <row r="55" spans="1:6" x14ac:dyDescent="0.35">
      <c r="A55">
        <v>11</v>
      </c>
      <c r="B55">
        <v>30</v>
      </c>
      <c r="C55">
        <v>7</v>
      </c>
      <c r="D55" t="s">
        <v>5</v>
      </c>
      <c r="E55">
        <f t="shared" si="0"/>
        <v>0.24675324675324672</v>
      </c>
      <c r="F55" s="1"/>
    </row>
    <row r="56" spans="1:6" x14ac:dyDescent="0.35">
      <c r="A56">
        <v>49</v>
      </c>
      <c r="B56">
        <v>60</v>
      </c>
      <c r="C56">
        <v>89</v>
      </c>
      <c r="D56" t="s">
        <v>4</v>
      </c>
      <c r="E56">
        <f t="shared" si="0"/>
        <v>2.522357257509746E-3</v>
      </c>
      <c r="F56" s="1">
        <f t="shared" ref="F56" si="27">AVERAGE(E56:E57)</f>
        <v>2.1543365577608487E-2</v>
      </c>
    </row>
    <row r="57" spans="1:6" x14ac:dyDescent="0.35">
      <c r="A57">
        <v>27</v>
      </c>
      <c r="B57">
        <v>50</v>
      </c>
      <c r="C57">
        <v>21</v>
      </c>
      <c r="D57" t="s">
        <v>5</v>
      </c>
      <c r="E57">
        <f t="shared" si="0"/>
        <v>4.0564373897707229E-2</v>
      </c>
      <c r="F57" s="1"/>
    </row>
    <row r="58" spans="1:6" x14ac:dyDescent="0.35">
      <c r="A58">
        <v>40</v>
      </c>
      <c r="B58">
        <v>55</v>
      </c>
      <c r="C58">
        <v>62</v>
      </c>
      <c r="D58" t="s">
        <v>4</v>
      </c>
      <c r="E58">
        <f t="shared" si="0"/>
        <v>6.0483870967741934E-3</v>
      </c>
      <c r="F58" s="1">
        <f t="shared" ref="F58" si="28">AVERAGE(E58:E59)</f>
        <v>5.4306244830438381E-2</v>
      </c>
    </row>
    <row r="59" spans="1:6" x14ac:dyDescent="0.35">
      <c r="A59">
        <v>15</v>
      </c>
      <c r="B59">
        <v>35</v>
      </c>
      <c r="C59">
        <v>13</v>
      </c>
      <c r="D59" t="s">
        <v>5</v>
      </c>
      <c r="E59">
        <f t="shared" si="0"/>
        <v>0.10256410256410257</v>
      </c>
      <c r="F59" s="1"/>
    </row>
    <row r="60" spans="1:6" x14ac:dyDescent="0.35">
      <c r="E60" s="2" t="s">
        <v>8</v>
      </c>
      <c r="F60">
        <f>AVERAGE(F2:F59)</f>
        <v>7.3806880421036739E-2</v>
      </c>
    </row>
  </sheetData>
  <mergeCells count="29">
    <mergeCell ref="F50:F51"/>
    <mergeCell ref="F52:F53"/>
    <mergeCell ref="F54:F55"/>
    <mergeCell ref="F56:F57"/>
    <mergeCell ref="F58:F59"/>
    <mergeCell ref="F38:F39"/>
    <mergeCell ref="F40:F41"/>
    <mergeCell ref="F42:F43"/>
    <mergeCell ref="F44:F45"/>
    <mergeCell ref="F46:F47"/>
    <mergeCell ref="F48:F49"/>
    <mergeCell ref="F26:F27"/>
    <mergeCell ref="F28:F29"/>
    <mergeCell ref="F30:F31"/>
    <mergeCell ref="F32:F33"/>
    <mergeCell ref="F34:F35"/>
    <mergeCell ref="F36:F37"/>
    <mergeCell ref="F14:F15"/>
    <mergeCell ref="F16:F17"/>
    <mergeCell ref="F18:F19"/>
    <mergeCell ref="F20:F21"/>
    <mergeCell ref="F22:F23"/>
    <mergeCell ref="F24:F25"/>
    <mergeCell ref="F2:F3"/>
    <mergeCell ref="F4:F5"/>
    <mergeCell ref="F6:F7"/>
    <mergeCell ref="F8:F9"/>
    <mergeCell ref="F10:F11"/>
    <mergeCell ref="F12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BF6E-4472-4413-A846-F85322FEA0A6}">
  <dimension ref="A1:F62"/>
  <sheetViews>
    <sheetView zoomScale="85" workbookViewId="0">
      <selection activeCell="F2" sqref="F2:F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15</v>
      </c>
    </row>
    <row r="2" spans="1:6" x14ac:dyDescent="0.35">
      <c r="A2">
        <v>49</v>
      </c>
      <c r="B2">
        <v>60</v>
      </c>
      <c r="C2">
        <v>89</v>
      </c>
      <c r="D2" t="s">
        <v>4</v>
      </c>
      <c r="E2">
        <f>((B2/A2)-1)/C2</f>
        <v>2.522357257509746E-3</v>
      </c>
      <c r="F2" s="1">
        <f>AVERAGE(E2:E3)</f>
        <v>1.3403175967827297E-3</v>
      </c>
    </row>
    <row r="3" spans="1:6" x14ac:dyDescent="0.35">
      <c r="A3">
        <v>78</v>
      </c>
      <c r="B3">
        <v>80</v>
      </c>
      <c r="C3">
        <v>162</v>
      </c>
      <c r="D3" t="s">
        <v>5</v>
      </c>
      <c r="E3">
        <f t="shared" ref="E3:E61" si="0">((B3/A3)-1)/C3</f>
        <v>1.5827793605571326E-4</v>
      </c>
      <c r="F3" s="1"/>
    </row>
    <row r="4" spans="1:6" x14ac:dyDescent="0.35">
      <c r="A4">
        <v>27</v>
      </c>
      <c r="B4">
        <v>50</v>
      </c>
      <c r="C4">
        <v>21</v>
      </c>
      <c r="D4" t="s">
        <v>4</v>
      </c>
      <c r="E4">
        <f t="shared" si="0"/>
        <v>4.0564373897707229E-2</v>
      </c>
      <c r="F4" s="1">
        <f>AVERAGE(E4:E5)</f>
        <v>2.0783880163452888E-2</v>
      </c>
    </row>
    <row r="5" spans="1:6" x14ac:dyDescent="0.35">
      <c r="A5">
        <v>67</v>
      </c>
      <c r="B5">
        <v>75</v>
      </c>
      <c r="C5">
        <v>119</v>
      </c>
      <c r="D5" t="s">
        <v>5</v>
      </c>
      <c r="E5">
        <f t="shared" si="0"/>
        <v>1.0033864291985443E-3</v>
      </c>
      <c r="F5" s="1"/>
    </row>
    <row r="6" spans="1:6" x14ac:dyDescent="0.35">
      <c r="A6">
        <v>11</v>
      </c>
      <c r="B6">
        <v>30</v>
      </c>
      <c r="C6">
        <v>7</v>
      </c>
      <c r="D6" t="s">
        <v>4</v>
      </c>
      <c r="E6">
        <f t="shared" si="0"/>
        <v>0.24675324675324672</v>
      </c>
      <c r="F6" s="1">
        <f>AVERAGE(E6:E7)</f>
        <v>0.12345576234465122</v>
      </c>
    </row>
    <row r="7" spans="1:6" x14ac:dyDescent="0.35">
      <c r="A7">
        <v>78</v>
      </c>
      <c r="B7">
        <v>80</v>
      </c>
      <c r="C7">
        <v>162</v>
      </c>
      <c r="D7" t="s">
        <v>5</v>
      </c>
      <c r="E7">
        <f t="shared" si="0"/>
        <v>1.5827793605571326E-4</v>
      </c>
      <c r="F7" s="1"/>
    </row>
    <row r="8" spans="1:6" x14ac:dyDescent="0.35">
      <c r="A8">
        <v>27</v>
      </c>
      <c r="B8">
        <v>50</v>
      </c>
      <c r="C8">
        <v>21</v>
      </c>
      <c r="D8" t="s">
        <v>4</v>
      </c>
      <c r="E8">
        <f t="shared" si="0"/>
        <v>4.0564373897707229E-2</v>
      </c>
      <c r="F8" s="1">
        <f>AVERAGE(E8:E9)</f>
        <v>2.0783880163452888E-2</v>
      </c>
    </row>
    <row r="9" spans="1:6" x14ac:dyDescent="0.35">
      <c r="A9">
        <v>67</v>
      </c>
      <c r="B9">
        <v>75</v>
      </c>
      <c r="C9">
        <v>119</v>
      </c>
      <c r="D9" t="s">
        <v>5</v>
      </c>
      <c r="E9">
        <f t="shared" si="0"/>
        <v>1.0033864291985443E-3</v>
      </c>
      <c r="F9" s="1"/>
    </row>
    <row r="10" spans="1:6" x14ac:dyDescent="0.35">
      <c r="A10">
        <v>11</v>
      </c>
      <c r="B10">
        <v>30</v>
      </c>
      <c r="C10">
        <v>7</v>
      </c>
      <c r="D10" t="s">
        <v>4</v>
      </c>
      <c r="E10">
        <f t="shared" si="0"/>
        <v>0.24675324675324672</v>
      </c>
      <c r="F10" s="1">
        <f>AVERAGE(E10:E11)</f>
        <v>0.12640081692501046</v>
      </c>
    </row>
    <row r="11" spans="1:6" x14ac:dyDescent="0.35">
      <c r="A11">
        <v>40</v>
      </c>
      <c r="B11">
        <v>55</v>
      </c>
      <c r="C11">
        <v>62</v>
      </c>
      <c r="D11" t="s">
        <v>5</v>
      </c>
      <c r="E11">
        <f t="shared" si="0"/>
        <v>6.0483870967741934E-3</v>
      </c>
      <c r="F11" s="1"/>
    </row>
    <row r="12" spans="1:6" x14ac:dyDescent="0.35">
      <c r="A12">
        <v>15</v>
      </c>
      <c r="B12">
        <v>35</v>
      </c>
      <c r="C12">
        <v>13</v>
      </c>
      <c r="D12" t="s">
        <v>4</v>
      </c>
      <c r="E12">
        <f t="shared" si="0"/>
        <v>0.10256410256410257</v>
      </c>
      <c r="F12" s="1">
        <f>AVERAGE(E12:E13)</f>
        <v>5.1361190250079146E-2</v>
      </c>
    </row>
    <row r="13" spans="1:6" x14ac:dyDescent="0.35">
      <c r="A13">
        <v>78</v>
      </c>
      <c r="B13">
        <v>80</v>
      </c>
      <c r="C13">
        <v>162</v>
      </c>
      <c r="D13" t="s">
        <v>5</v>
      </c>
      <c r="E13">
        <f t="shared" si="0"/>
        <v>1.5827793605571326E-4</v>
      </c>
      <c r="F13" s="1"/>
    </row>
    <row r="14" spans="1:6" x14ac:dyDescent="0.35">
      <c r="A14">
        <v>27</v>
      </c>
      <c r="B14">
        <v>50</v>
      </c>
      <c r="C14">
        <v>21</v>
      </c>
      <c r="D14" t="s">
        <v>4</v>
      </c>
      <c r="E14">
        <f t="shared" si="0"/>
        <v>4.0564373897707229E-2</v>
      </c>
      <c r="F14" s="1">
        <f>AVERAGE(E14:E15)</f>
        <v>2.0783880163452888E-2</v>
      </c>
    </row>
    <row r="15" spans="1:6" x14ac:dyDescent="0.35">
      <c r="A15">
        <v>67</v>
      </c>
      <c r="B15">
        <v>75</v>
      </c>
      <c r="C15">
        <v>119</v>
      </c>
      <c r="D15" t="s">
        <v>5</v>
      </c>
      <c r="E15">
        <f t="shared" si="0"/>
        <v>1.0033864291985443E-3</v>
      </c>
      <c r="F15" s="1"/>
    </row>
    <row r="16" spans="1:6" x14ac:dyDescent="0.35">
      <c r="A16">
        <v>15</v>
      </c>
      <c r="B16">
        <v>35</v>
      </c>
      <c r="C16">
        <v>13</v>
      </c>
      <c r="D16" t="s">
        <v>4</v>
      </c>
      <c r="E16">
        <f t="shared" si="0"/>
        <v>0.10256410256410257</v>
      </c>
      <c r="F16" s="1">
        <f>AVERAGE(E16:E17)</f>
        <v>5.1361190250079146E-2</v>
      </c>
    </row>
    <row r="17" spans="1:6" x14ac:dyDescent="0.35">
      <c r="A17">
        <v>78</v>
      </c>
      <c r="B17">
        <v>80</v>
      </c>
      <c r="C17">
        <v>162</v>
      </c>
      <c r="D17" t="s">
        <v>5</v>
      </c>
      <c r="E17">
        <f t="shared" si="0"/>
        <v>1.5827793605571326E-4</v>
      </c>
      <c r="F17" s="1"/>
    </row>
    <row r="18" spans="1:6" x14ac:dyDescent="0.35">
      <c r="A18">
        <v>11</v>
      </c>
      <c r="B18">
        <v>30</v>
      </c>
      <c r="C18">
        <v>7</v>
      </c>
      <c r="D18" t="s">
        <v>4</v>
      </c>
      <c r="E18">
        <f t="shared" si="0"/>
        <v>0.24675324675324672</v>
      </c>
      <c r="F18" s="1">
        <f>AVERAGE(E18:E19)</f>
        <v>0.12345576234465122</v>
      </c>
    </row>
    <row r="19" spans="1:6" x14ac:dyDescent="0.35">
      <c r="A19">
        <v>78</v>
      </c>
      <c r="B19">
        <v>80</v>
      </c>
      <c r="C19">
        <v>162</v>
      </c>
      <c r="D19" t="s">
        <v>5</v>
      </c>
      <c r="E19">
        <f t="shared" si="0"/>
        <v>1.5827793605571326E-4</v>
      </c>
      <c r="F19" s="1"/>
    </row>
    <row r="20" spans="1:6" x14ac:dyDescent="0.35">
      <c r="A20">
        <v>15</v>
      </c>
      <c r="B20">
        <v>35</v>
      </c>
      <c r="C20">
        <v>13</v>
      </c>
      <c r="D20" t="s">
        <v>4</v>
      </c>
      <c r="E20">
        <f t="shared" si="0"/>
        <v>0.10256410256410257</v>
      </c>
      <c r="F20" s="1">
        <f>AVERAGE(E20:E21)</f>
        <v>5.1783744496650561E-2</v>
      </c>
    </row>
    <row r="21" spans="1:6" x14ac:dyDescent="0.35">
      <c r="A21">
        <v>67</v>
      </c>
      <c r="B21">
        <v>75</v>
      </c>
      <c r="C21">
        <v>119</v>
      </c>
      <c r="D21" t="s">
        <v>5</v>
      </c>
      <c r="E21">
        <f t="shared" si="0"/>
        <v>1.0033864291985443E-3</v>
      </c>
      <c r="F21" s="1"/>
    </row>
    <row r="22" spans="1:6" x14ac:dyDescent="0.35">
      <c r="A22">
        <v>27</v>
      </c>
      <c r="B22">
        <v>50</v>
      </c>
      <c r="C22">
        <v>21</v>
      </c>
      <c r="D22" t="s">
        <v>4</v>
      </c>
      <c r="E22">
        <f t="shared" si="0"/>
        <v>4.0564373897707229E-2</v>
      </c>
      <c r="F22" s="1">
        <f>AVERAGE(E22:E23)</f>
        <v>2.1543365577608487E-2</v>
      </c>
    </row>
    <row r="23" spans="1:6" x14ac:dyDescent="0.35">
      <c r="A23">
        <v>49</v>
      </c>
      <c r="B23">
        <v>60</v>
      </c>
      <c r="C23">
        <v>89</v>
      </c>
      <c r="D23" t="s">
        <v>5</v>
      </c>
      <c r="E23">
        <f t="shared" si="0"/>
        <v>2.522357257509746E-3</v>
      </c>
      <c r="F23" s="1"/>
    </row>
    <row r="24" spans="1:6" x14ac:dyDescent="0.35">
      <c r="A24">
        <v>15</v>
      </c>
      <c r="B24">
        <v>35</v>
      </c>
      <c r="C24">
        <v>13</v>
      </c>
      <c r="D24" t="s">
        <v>4</v>
      </c>
      <c r="E24">
        <f t="shared" si="0"/>
        <v>0.10256410256410257</v>
      </c>
      <c r="F24" s="1">
        <f>AVERAGE(E24:E25)</f>
        <v>7.1564238230904909E-2</v>
      </c>
    </row>
    <row r="25" spans="1:6" x14ac:dyDescent="0.35">
      <c r="A25">
        <v>27</v>
      </c>
      <c r="B25">
        <v>50</v>
      </c>
      <c r="C25">
        <v>21</v>
      </c>
      <c r="D25" t="s">
        <v>5</v>
      </c>
      <c r="E25">
        <f t="shared" si="0"/>
        <v>4.0564373897707229E-2</v>
      </c>
      <c r="F25" s="1"/>
    </row>
    <row r="26" spans="1:6" x14ac:dyDescent="0.35">
      <c r="A26">
        <v>11</v>
      </c>
      <c r="B26">
        <v>30</v>
      </c>
      <c r="C26">
        <v>7</v>
      </c>
      <c r="D26" t="s">
        <v>4</v>
      </c>
      <c r="E26">
        <f t="shared" si="0"/>
        <v>0.24675324675324672</v>
      </c>
      <c r="F26" s="1">
        <f>AVERAGE(E26:E27)</f>
        <v>0.12463780200537823</v>
      </c>
    </row>
    <row r="27" spans="1:6" x14ac:dyDescent="0.35">
      <c r="A27">
        <v>49</v>
      </c>
      <c r="B27">
        <v>60</v>
      </c>
      <c r="C27">
        <v>89</v>
      </c>
      <c r="D27" t="s">
        <v>5</v>
      </c>
      <c r="E27">
        <f t="shared" si="0"/>
        <v>2.522357257509746E-3</v>
      </c>
      <c r="F27" s="1"/>
    </row>
    <row r="28" spans="1:6" x14ac:dyDescent="0.35">
      <c r="A28">
        <v>40</v>
      </c>
      <c r="B28">
        <v>55</v>
      </c>
      <c r="C28">
        <v>62</v>
      </c>
      <c r="D28" t="s">
        <v>4</v>
      </c>
      <c r="E28">
        <f t="shared" si="0"/>
        <v>6.0483870967741934E-3</v>
      </c>
      <c r="F28" s="1">
        <f>AVERAGE(E28:E29)</f>
        <v>3.1033325164149532E-3</v>
      </c>
    </row>
    <row r="29" spans="1:6" x14ac:dyDescent="0.35">
      <c r="A29">
        <v>78</v>
      </c>
      <c r="B29">
        <v>80</v>
      </c>
      <c r="C29">
        <v>162</v>
      </c>
      <c r="D29" t="s">
        <v>5</v>
      </c>
      <c r="E29">
        <f t="shared" si="0"/>
        <v>1.5827793605571326E-4</v>
      </c>
      <c r="F29" s="1"/>
    </row>
    <row r="30" spans="1:6" x14ac:dyDescent="0.35">
      <c r="A30">
        <v>15</v>
      </c>
      <c r="B30">
        <v>35</v>
      </c>
      <c r="C30">
        <v>13</v>
      </c>
      <c r="D30" t="s">
        <v>4</v>
      </c>
      <c r="E30">
        <f t="shared" si="0"/>
        <v>0.10256410256410257</v>
      </c>
      <c r="F30" s="1">
        <f>AVERAGE(E30:E31)</f>
        <v>5.1783744496650561E-2</v>
      </c>
    </row>
    <row r="31" spans="1:6" x14ac:dyDescent="0.35">
      <c r="A31">
        <v>67</v>
      </c>
      <c r="B31">
        <v>75</v>
      </c>
      <c r="C31">
        <v>119</v>
      </c>
      <c r="D31" t="s">
        <v>5</v>
      </c>
      <c r="E31">
        <f t="shared" si="0"/>
        <v>1.0033864291985443E-3</v>
      </c>
      <c r="F31" s="1"/>
    </row>
    <row r="32" spans="1:6" x14ac:dyDescent="0.35">
      <c r="A32">
        <v>15</v>
      </c>
      <c r="B32">
        <v>35</v>
      </c>
      <c r="C32">
        <v>13</v>
      </c>
      <c r="D32" t="s">
        <v>4</v>
      </c>
      <c r="E32">
        <f t="shared" si="0"/>
        <v>0.10256410256410257</v>
      </c>
      <c r="F32" s="1">
        <f>AVERAGE(E32:E33)</f>
        <v>5.2543229910806163E-2</v>
      </c>
    </row>
    <row r="33" spans="1:6" x14ac:dyDescent="0.35">
      <c r="A33">
        <v>49</v>
      </c>
      <c r="B33">
        <v>60</v>
      </c>
      <c r="C33">
        <v>89</v>
      </c>
      <c r="D33" t="s">
        <v>5</v>
      </c>
      <c r="E33">
        <f t="shared" si="0"/>
        <v>2.522357257509746E-3</v>
      </c>
      <c r="F33" s="1"/>
    </row>
    <row r="34" spans="1:6" x14ac:dyDescent="0.35">
      <c r="A34">
        <v>40</v>
      </c>
      <c r="B34">
        <v>55</v>
      </c>
      <c r="C34">
        <v>62</v>
      </c>
      <c r="D34" t="s">
        <v>4</v>
      </c>
      <c r="E34">
        <f t="shared" si="0"/>
        <v>6.0483870967741934E-3</v>
      </c>
      <c r="F34" s="1">
        <f>AVERAGE(E34:E35)</f>
        <v>3.5258867629863687E-3</v>
      </c>
    </row>
    <row r="35" spans="1:6" x14ac:dyDescent="0.35">
      <c r="A35">
        <v>67</v>
      </c>
      <c r="B35">
        <v>75</v>
      </c>
      <c r="C35">
        <v>119</v>
      </c>
      <c r="D35" t="s">
        <v>5</v>
      </c>
      <c r="E35">
        <f t="shared" si="0"/>
        <v>1.0033864291985443E-3</v>
      </c>
      <c r="F35" s="1"/>
    </row>
    <row r="36" spans="1:6" x14ac:dyDescent="0.35">
      <c r="A36">
        <v>11</v>
      </c>
      <c r="B36">
        <v>30</v>
      </c>
      <c r="C36">
        <v>7</v>
      </c>
      <c r="D36" t="s">
        <v>4</v>
      </c>
      <c r="E36">
        <f t="shared" si="0"/>
        <v>0.24675324675324672</v>
      </c>
      <c r="F36" s="1">
        <f t="shared" ref="F36" si="1">AVERAGE(E36:E37)</f>
        <v>0.12387831659122263</v>
      </c>
    </row>
    <row r="37" spans="1:6" x14ac:dyDescent="0.35">
      <c r="A37">
        <v>67</v>
      </c>
      <c r="B37">
        <v>75</v>
      </c>
      <c r="C37">
        <v>119</v>
      </c>
      <c r="D37" t="s">
        <v>5</v>
      </c>
      <c r="E37">
        <f t="shared" si="0"/>
        <v>1.0033864291985443E-3</v>
      </c>
      <c r="F37" s="1"/>
    </row>
    <row r="38" spans="1:6" x14ac:dyDescent="0.35">
      <c r="A38">
        <v>15</v>
      </c>
      <c r="B38">
        <v>35</v>
      </c>
      <c r="C38">
        <v>13</v>
      </c>
      <c r="D38" t="s">
        <v>4</v>
      </c>
      <c r="E38">
        <f t="shared" si="0"/>
        <v>0.10256410256410257</v>
      </c>
      <c r="F38" s="1">
        <f t="shared" ref="F38" si="2">AVERAGE(E38:E39)</f>
        <v>5.4306244830438381E-2</v>
      </c>
    </row>
    <row r="39" spans="1:6" x14ac:dyDescent="0.35">
      <c r="A39">
        <v>40</v>
      </c>
      <c r="B39">
        <v>55</v>
      </c>
      <c r="C39">
        <v>62</v>
      </c>
      <c r="D39" t="s">
        <v>5</v>
      </c>
      <c r="E39">
        <f t="shared" si="0"/>
        <v>6.0483870967741934E-3</v>
      </c>
      <c r="F39" s="1"/>
    </row>
    <row r="40" spans="1:6" x14ac:dyDescent="0.35">
      <c r="A40">
        <v>11</v>
      </c>
      <c r="B40">
        <v>30</v>
      </c>
      <c r="C40">
        <v>7</v>
      </c>
      <c r="D40" t="s">
        <v>4</v>
      </c>
      <c r="E40">
        <f t="shared" si="0"/>
        <v>0.24675324675324672</v>
      </c>
      <c r="F40" s="1">
        <f t="shared" ref="F40" si="3">AVERAGE(E40:E41)</f>
        <v>0.14365881032547698</v>
      </c>
    </row>
    <row r="41" spans="1:6" x14ac:dyDescent="0.35">
      <c r="A41">
        <v>27</v>
      </c>
      <c r="B41">
        <v>50</v>
      </c>
      <c r="C41">
        <v>21</v>
      </c>
      <c r="D41" t="s">
        <v>5</v>
      </c>
      <c r="E41">
        <f t="shared" si="0"/>
        <v>4.0564373897707229E-2</v>
      </c>
      <c r="F41" s="1"/>
    </row>
    <row r="42" spans="1:6" x14ac:dyDescent="0.35">
      <c r="A42">
        <v>15</v>
      </c>
      <c r="B42">
        <v>35</v>
      </c>
      <c r="C42">
        <v>13</v>
      </c>
      <c r="D42" t="s">
        <v>4</v>
      </c>
      <c r="E42">
        <f t="shared" si="0"/>
        <v>0.10256410256410257</v>
      </c>
      <c r="F42" s="1">
        <f t="shared" ref="F42" si="4">AVERAGE(E42:E43)</f>
        <v>5.2543229910806163E-2</v>
      </c>
    </row>
    <row r="43" spans="1:6" x14ac:dyDescent="0.35">
      <c r="A43">
        <v>49</v>
      </c>
      <c r="B43">
        <v>60</v>
      </c>
      <c r="C43">
        <v>89</v>
      </c>
      <c r="D43" t="s">
        <v>5</v>
      </c>
      <c r="E43">
        <f t="shared" si="0"/>
        <v>2.522357257509746E-3</v>
      </c>
      <c r="F43" s="1"/>
    </row>
    <row r="44" spans="1:6" x14ac:dyDescent="0.35">
      <c r="A44">
        <v>15</v>
      </c>
      <c r="B44">
        <v>35</v>
      </c>
      <c r="C44">
        <v>13</v>
      </c>
      <c r="D44" t="s">
        <v>4</v>
      </c>
      <c r="E44">
        <f t="shared" si="0"/>
        <v>0.10256410256410257</v>
      </c>
      <c r="F44" s="1">
        <f t="shared" ref="F44" si="5">AVERAGE(E44:E45)</f>
        <v>5.4306244830438381E-2</v>
      </c>
    </row>
    <row r="45" spans="1:6" x14ac:dyDescent="0.35">
      <c r="A45">
        <v>40</v>
      </c>
      <c r="B45">
        <v>55</v>
      </c>
      <c r="C45">
        <v>62</v>
      </c>
      <c r="D45" t="s">
        <v>5</v>
      </c>
      <c r="E45">
        <f t="shared" si="0"/>
        <v>6.0483870967741934E-3</v>
      </c>
      <c r="F45" s="1"/>
    </row>
    <row r="46" spans="1:6" x14ac:dyDescent="0.35">
      <c r="A46">
        <v>27</v>
      </c>
      <c r="B46">
        <v>50</v>
      </c>
      <c r="C46">
        <v>21</v>
      </c>
      <c r="D46" t="s">
        <v>4</v>
      </c>
      <c r="E46">
        <f t="shared" si="0"/>
        <v>4.0564373897707229E-2</v>
      </c>
      <c r="F46" s="1">
        <f t="shared" ref="F46" si="6">AVERAGE(E46:E47)</f>
        <v>2.1543365577608487E-2</v>
      </c>
    </row>
    <row r="47" spans="1:6" x14ac:dyDescent="0.35">
      <c r="A47">
        <v>49</v>
      </c>
      <c r="B47">
        <v>60</v>
      </c>
      <c r="C47">
        <v>89</v>
      </c>
      <c r="D47" t="s">
        <v>5</v>
      </c>
      <c r="E47">
        <f t="shared" si="0"/>
        <v>2.522357257509746E-3</v>
      </c>
      <c r="F47" s="1"/>
    </row>
    <row r="48" spans="1:6" x14ac:dyDescent="0.35">
      <c r="A48">
        <v>11</v>
      </c>
      <c r="B48">
        <v>30</v>
      </c>
      <c r="C48">
        <v>7</v>
      </c>
      <c r="D48" t="s">
        <v>4</v>
      </c>
      <c r="E48">
        <f t="shared" si="0"/>
        <v>0.24675324675324672</v>
      </c>
      <c r="F48" s="1">
        <f t="shared" ref="F48" si="7">AVERAGE(E48:E49)</f>
        <v>0.12345576234465122</v>
      </c>
    </row>
    <row r="49" spans="1:6" x14ac:dyDescent="0.35">
      <c r="A49">
        <v>78</v>
      </c>
      <c r="B49">
        <v>80</v>
      </c>
      <c r="C49">
        <v>162</v>
      </c>
      <c r="D49" t="s">
        <v>5</v>
      </c>
      <c r="E49">
        <f t="shared" si="0"/>
        <v>1.5827793605571326E-4</v>
      </c>
      <c r="F49" s="1"/>
    </row>
    <row r="50" spans="1:6" x14ac:dyDescent="0.35">
      <c r="A50">
        <v>27</v>
      </c>
      <c r="B50">
        <v>50</v>
      </c>
      <c r="C50">
        <v>21</v>
      </c>
      <c r="D50" t="s">
        <v>4</v>
      </c>
      <c r="E50">
        <f t="shared" si="0"/>
        <v>4.0564373897707229E-2</v>
      </c>
      <c r="F50" s="1">
        <f t="shared" ref="F50" si="8">AVERAGE(E50:E51)</f>
        <v>2.3306380497240712E-2</v>
      </c>
    </row>
    <row r="51" spans="1:6" x14ac:dyDescent="0.35">
      <c r="A51">
        <v>40</v>
      </c>
      <c r="B51">
        <v>55</v>
      </c>
      <c r="C51">
        <v>62</v>
      </c>
      <c r="D51" t="s">
        <v>5</v>
      </c>
      <c r="E51">
        <f t="shared" si="0"/>
        <v>6.0483870967741934E-3</v>
      </c>
      <c r="F51" s="1"/>
    </row>
    <row r="52" spans="1:6" x14ac:dyDescent="0.35">
      <c r="A52">
        <v>15</v>
      </c>
      <c r="B52">
        <v>35</v>
      </c>
      <c r="C52">
        <v>13</v>
      </c>
      <c r="D52" t="s">
        <v>4</v>
      </c>
      <c r="E52">
        <f t="shared" si="0"/>
        <v>0.10256410256410257</v>
      </c>
      <c r="F52" s="1">
        <f t="shared" ref="F52" si="9">AVERAGE(E52:E53)</f>
        <v>5.2543229910806163E-2</v>
      </c>
    </row>
    <row r="53" spans="1:6" x14ac:dyDescent="0.35">
      <c r="A53">
        <v>49</v>
      </c>
      <c r="B53">
        <v>60</v>
      </c>
      <c r="C53">
        <v>89</v>
      </c>
      <c r="D53" t="s">
        <v>5</v>
      </c>
      <c r="E53">
        <f t="shared" si="0"/>
        <v>2.522357257509746E-3</v>
      </c>
      <c r="F53" s="1"/>
    </row>
    <row r="54" spans="1:6" x14ac:dyDescent="0.35">
      <c r="A54">
        <v>11</v>
      </c>
      <c r="B54">
        <v>30</v>
      </c>
      <c r="C54">
        <v>7</v>
      </c>
      <c r="D54" t="s">
        <v>4</v>
      </c>
      <c r="E54">
        <f t="shared" si="0"/>
        <v>0.24675324675324672</v>
      </c>
      <c r="F54" s="1">
        <f t="shared" ref="F54" si="10">AVERAGE(E54:E55)</f>
        <v>0.12640081692501046</v>
      </c>
    </row>
    <row r="55" spans="1:6" x14ac:dyDescent="0.35">
      <c r="A55">
        <v>40</v>
      </c>
      <c r="B55">
        <v>55</v>
      </c>
      <c r="C55">
        <v>62</v>
      </c>
      <c r="D55" t="s">
        <v>5</v>
      </c>
      <c r="E55">
        <f t="shared" si="0"/>
        <v>6.0483870967741934E-3</v>
      </c>
      <c r="F55" s="1"/>
    </row>
    <row r="56" spans="1:6" x14ac:dyDescent="0.35">
      <c r="A56">
        <v>15</v>
      </c>
      <c r="B56">
        <v>35</v>
      </c>
      <c r="C56">
        <v>13</v>
      </c>
      <c r="D56" t="s">
        <v>4</v>
      </c>
      <c r="E56">
        <f t="shared" si="0"/>
        <v>0.10256410256410257</v>
      </c>
      <c r="F56" s="1">
        <f t="shared" ref="F56" si="11">AVERAGE(E56:E57)</f>
        <v>5.1361190250079146E-2</v>
      </c>
    </row>
    <row r="57" spans="1:6" x14ac:dyDescent="0.35">
      <c r="A57">
        <v>78</v>
      </c>
      <c r="B57">
        <v>80</v>
      </c>
      <c r="C57">
        <v>162</v>
      </c>
      <c r="D57" t="s">
        <v>5</v>
      </c>
      <c r="E57">
        <f t="shared" si="0"/>
        <v>1.5827793605571326E-4</v>
      </c>
      <c r="F57" s="1"/>
    </row>
    <row r="58" spans="1:6" x14ac:dyDescent="0.35">
      <c r="A58">
        <v>27</v>
      </c>
      <c r="B58">
        <v>50</v>
      </c>
      <c r="C58">
        <v>21</v>
      </c>
      <c r="D58" t="s">
        <v>4</v>
      </c>
      <c r="E58">
        <f t="shared" si="0"/>
        <v>4.0564373897707229E-2</v>
      </c>
      <c r="F58" s="1">
        <f t="shared" ref="F58" si="12">AVERAGE(E58:E59)</f>
        <v>2.0783880163452888E-2</v>
      </c>
    </row>
    <row r="59" spans="1:6" x14ac:dyDescent="0.35">
      <c r="A59">
        <v>67</v>
      </c>
      <c r="B59">
        <v>75</v>
      </c>
      <c r="C59">
        <v>119</v>
      </c>
      <c r="D59" t="s">
        <v>5</v>
      </c>
      <c r="E59">
        <f t="shared" si="0"/>
        <v>1.0033864291985443E-3</v>
      </c>
      <c r="F59" s="1"/>
    </row>
    <row r="60" spans="1:6" x14ac:dyDescent="0.35">
      <c r="A60">
        <v>11</v>
      </c>
      <c r="B60">
        <v>30</v>
      </c>
      <c r="C60">
        <v>7</v>
      </c>
      <c r="D60" t="s">
        <v>4</v>
      </c>
      <c r="E60">
        <f t="shared" si="0"/>
        <v>0.24675324675324672</v>
      </c>
      <c r="F60" s="1">
        <f t="shared" ref="F60" si="13">AVERAGE(E60:E61)</f>
        <v>0.17465867465867466</v>
      </c>
    </row>
    <row r="61" spans="1:6" x14ac:dyDescent="0.35">
      <c r="A61">
        <v>15</v>
      </c>
      <c r="B61">
        <v>35</v>
      </c>
      <c r="C61">
        <v>13</v>
      </c>
      <c r="D61" t="s">
        <v>5</v>
      </c>
      <c r="E61">
        <f t="shared" si="0"/>
        <v>0.10256410256410257</v>
      </c>
      <c r="F61" s="1"/>
    </row>
    <row r="62" spans="1:6" x14ac:dyDescent="0.35">
      <c r="E62" s="2" t="s">
        <v>8</v>
      </c>
      <c r="F62">
        <f>AVERAGE(F2:F61)</f>
        <v>6.4765272367163965E-2</v>
      </c>
    </row>
  </sheetData>
  <mergeCells count="30">
    <mergeCell ref="F50:F51"/>
    <mergeCell ref="F52:F53"/>
    <mergeCell ref="F54:F55"/>
    <mergeCell ref="F56:F57"/>
    <mergeCell ref="F58:F59"/>
    <mergeCell ref="F60:F61"/>
    <mergeCell ref="F38:F39"/>
    <mergeCell ref="F40:F41"/>
    <mergeCell ref="F42:F43"/>
    <mergeCell ref="F44:F45"/>
    <mergeCell ref="F46:F47"/>
    <mergeCell ref="F48:F49"/>
    <mergeCell ref="F26:F27"/>
    <mergeCell ref="F28:F29"/>
    <mergeCell ref="F30:F31"/>
    <mergeCell ref="F32:F33"/>
    <mergeCell ref="F34:F35"/>
    <mergeCell ref="F36:F37"/>
    <mergeCell ref="F14:F15"/>
    <mergeCell ref="F16:F17"/>
    <mergeCell ref="F18:F19"/>
    <mergeCell ref="F20:F21"/>
    <mergeCell ref="F22:F23"/>
    <mergeCell ref="F24:F25"/>
    <mergeCell ref="F2:F3"/>
    <mergeCell ref="F4:F5"/>
    <mergeCell ref="F6:F7"/>
    <mergeCell ref="F8:F9"/>
    <mergeCell ref="F10:F11"/>
    <mergeCell ref="F12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5EA4E-6546-4644-B15E-FB44FD9A5B19}">
  <dimension ref="A1:F66"/>
  <sheetViews>
    <sheetView zoomScale="99" workbookViewId="0">
      <selection activeCell="F2" sqref="F2:F3"/>
    </sheetView>
  </sheetViews>
  <sheetFormatPr defaultRowHeight="14.5" x14ac:dyDescent="0.35"/>
  <cols>
    <col min="5" max="5" width="11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15</v>
      </c>
    </row>
    <row r="2" spans="1:6" x14ac:dyDescent="0.35">
      <c r="A2">
        <v>49</v>
      </c>
      <c r="B2">
        <v>60</v>
      </c>
      <c r="C2">
        <v>89</v>
      </c>
      <c r="D2" t="s">
        <v>4</v>
      </c>
      <c r="E2">
        <f>((B2/A2)-1)/C2</f>
        <v>2.522357257509746E-3</v>
      </c>
      <c r="F2" s="1">
        <f>AVERAGE(E2:E3)</f>
        <v>2.1543365577608487E-2</v>
      </c>
    </row>
    <row r="3" spans="1:6" x14ac:dyDescent="0.35">
      <c r="A3">
        <v>27</v>
      </c>
      <c r="B3">
        <v>50</v>
      </c>
      <c r="C3">
        <v>21</v>
      </c>
      <c r="D3" t="s">
        <v>5</v>
      </c>
      <c r="E3">
        <f t="shared" ref="E3:E65" si="0">((B3/A3)-1)/C3</f>
        <v>4.0564373897707229E-2</v>
      </c>
      <c r="F3" s="1"/>
    </row>
    <row r="4" spans="1:6" x14ac:dyDescent="0.35">
      <c r="A4">
        <v>40</v>
      </c>
      <c r="B4">
        <v>55</v>
      </c>
      <c r="C4">
        <v>62</v>
      </c>
      <c r="D4" t="s">
        <v>4</v>
      </c>
      <c r="E4">
        <f t="shared" si="0"/>
        <v>6.0483870967741934E-3</v>
      </c>
      <c r="F4" s="1">
        <f>AVERAGE(E4:E5)</f>
        <v>5.4306244830438381E-2</v>
      </c>
    </row>
    <row r="5" spans="1:6" x14ac:dyDescent="0.35">
      <c r="A5">
        <v>15</v>
      </c>
      <c r="B5">
        <v>35</v>
      </c>
      <c r="C5">
        <v>13</v>
      </c>
      <c r="D5" t="s">
        <v>5</v>
      </c>
      <c r="E5">
        <f t="shared" si="0"/>
        <v>0.10256410256410257</v>
      </c>
      <c r="F5" s="1"/>
    </row>
    <row r="6" spans="1:6" x14ac:dyDescent="0.35">
      <c r="A6">
        <v>40</v>
      </c>
      <c r="B6">
        <v>55</v>
      </c>
      <c r="C6">
        <v>62</v>
      </c>
      <c r="D6" t="s">
        <v>4</v>
      </c>
      <c r="E6">
        <f t="shared" si="0"/>
        <v>6.0483870967741934E-3</v>
      </c>
      <c r="F6" s="1">
        <f>AVERAGE(E6:E7)</f>
        <v>5.4306244830438381E-2</v>
      </c>
    </row>
    <row r="7" spans="1:6" x14ac:dyDescent="0.35">
      <c r="A7">
        <v>15</v>
      </c>
      <c r="B7">
        <v>35</v>
      </c>
      <c r="C7">
        <v>13</v>
      </c>
      <c r="D7" t="s">
        <v>5</v>
      </c>
      <c r="E7">
        <f t="shared" si="0"/>
        <v>0.10256410256410257</v>
      </c>
      <c r="F7" s="1"/>
    </row>
    <row r="8" spans="1:6" x14ac:dyDescent="0.35">
      <c r="A8">
        <v>67</v>
      </c>
      <c r="B8">
        <v>75</v>
      </c>
      <c r="C8">
        <v>119</v>
      </c>
      <c r="D8" t="s">
        <v>4</v>
      </c>
      <c r="E8">
        <f t="shared" si="0"/>
        <v>1.0033864291985443E-3</v>
      </c>
      <c r="F8" s="1">
        <f>AVERAGE(E8:E9)</f>
        <v>2.0783880163452888E-2</v>
      </c>
    </row>
    <row r="9" spans="1:6" x14ac:dyDescent="0.35">
      <c r="A9">
        <v>27</v>
      </c>
      <c r="B9">
        <v>50</v>
      </c>
      <c r="C9">
        <v>21</v>
      </c>
      <c r="D9" t="s">
        <v>5</v>
      </c>
      <c r="E9">
        <f t="shared" si="0"/>
        <v>4.0564373897707229E-2</v>
      </c>
      <c r="F9" s="1"/>
    </row>
    <row r="10" spans="1:6" x14ac:dyDescent="0.35">
      <c r="A10">
        <v>15</v>
      </c>
      <c r="B10">
        <v>35</v>
      </c>
      <c r="C10">
        <v>13</v>
      </c>
      <c r="D10" t="s">
        <v>4</v>
      </c>
      <c r="E10">
        <f t="shared" si="0"/>
        <v>0.10256410256410257</v>
      </c>
      <c r="F10" s="1">
        <f>AVERAGE(E10:E11)</f>
        <v>5.4306244830438381E-2</v>
      </c>
    </row>
    <row r="11" spans="1:6" x14ac:dyDescent="0.35">
      <c r="A11">
        <v>40</v>
      </c>
      <c r="B11">
        <v>55</v>
      </c>
      <c r="C11">
        <v>62</v>
      </c>
      <c r="D11" t="s">
        <v>5</v>
      </c>
      <c r="E11">
        <f t="shared" si="0"/>
        <v>6.0483870967741934E-3</v>
      </c>
      <c r="F11" s="1"/>
    </row>
    <row r="12" spans="1:6" x14ac:dyDescent="0.35">
      <c r="A12">
        <v>78</v>
      </c>
      <c r="B12">
        <v>80</v>
      </c>
      <c r="C12">
        <v>162</v>
      </c>
      <c r="D12" t="s">
        <v>4</v>
      </c>
      <c r="E12">
        <f t="shared" si="0"/>
        <v>1.5827793605571326E-4</v>
      </c>
      <c r="F12" s="1">
        <f>AVERAGE(E12:E13)</f>
        <v>0.12345576234465122</v>
      </c>
    </row>
    <row r="13" spans="1:6" x14ac:dyDescent="0.35">
      <c r="A13">
        <v>11</v>
      </c>
      <c r="B13">
        <v>30</v>
      </c>
      <c r="C13">
        <v>7</v>
      </c>
      <c r="D13" t="s">
        <v>5</v>
      </c>
      <c r="E13">
        <f t="shared" si="0"/>
        <v>0.24675324675324672</v>
      </c>
      <c r="F13" s="1"/>
    </row>
    <row r="14" spans="1:6" x14ac:dyDescent="0.35">
      <c r="A14">
        <v>49</v>
      </c>
      <c r="B14">
        <v>60</v>
      </c>
      <c r="C14">
        <v>89</v>
      </c>
      <c r="D14" t="s">
        <v>4</v>
      </c>
      <c r="E14">
        <f t="shared" si="0"/>
        <v>2.522357257509746E-3</v>
      </c>
      <c r="F14" s="1">
        <f>AVERAGE(E14:E15)</f>
        <v>2.1543365577608487E-2</v>
      </c>
    </row>
    <row r="15" spans="1:6" x14ac:dyDescent="0.35">
      <c r="A15">
        <v>27</v>
      </c>
      <c r="B15">
        <v>50</v>
      </c>
      <c r="C15">
        <v>21</v>
      </c>
      <c r="D15" t="s">
        <v>5</v>
      </c>
      <c r="E15">
        <f t="shared" si="0"/>
        <v>4.0564373897707229E-2</v>
      </c>
      <c r="F15" s="1"/>
    </row>
    <row r="16" spans="1:6" x14ac:dyDescent="0.35">
      <c r="A16">
        <v>49</v>
      </c>
      <c r="B16">
        <v>60</v>
      </c>
      <c r="C16">
        <v>89</v>
      </c>
      <c r="D16" t="s">
        <v>4</v>
      </c>
      <c r="E16">
        <f t="shared" si="0"/>
        <v>2.522357257509746E-3</v>
      </c>
      <c r="F16" s="1">
        <f>AVERAGE(E16:E17)</f>
        <v>5.2543229910806163E-2</v>
      </c>
    </row>
    <row r="17" spans="1:6" x14ac:dyDescent="0.35">
      <c r="A17">
        <v>15</v>
      </c>
      <c r="B17">
        <v>35</v>
      </c>
      <c r="C17">
        <v>13</v>
      </c>
      <c r="D17" t="s">
        <v>5</v>
      </c>
      <c r="E17">
        <f t="shared" si="0"/>
        <v>0.10256410256410257</v>
      </c>
      <c r="F17" s="1"/>
    </row>
    <row r="18" spans="1:6" x14ac:dyDescent="0.35">
      <c r="A18">
        <v>78</v>
      </c>
      <c r="B18">
        <v>80</v>
      </c>
      <c r="C18">
        <v>162</v>
      </c>
      <c r="D18" t="s">
        <v>4</v>
      </c>
      <c r="E18">
        <f t="shared" si="0"/>
        <v>1.5827793605571326E-4</v>
      </c>
      <c r="F18" s="1">
        <f>AVERAGE(E18:E19)</f>
        <v>2.036132591688147E-2</v>
      </c>
    </row>
    <row r="19" spans="1:6" x14ac:dyDescent="0.35">
      <c r="A19">
        <v>27</v>
      </c>
      <c r="B19">
        <v>50</v>
      </c>
      <c r="C19">
        <v>21</v>
      </c>
      <c r="D19" t="s">
        <v>5</v>
      </c>
      <c r="E19">
        <f t="shared" si="0"/>
        <v>4.0564373897707229E-2</v>
      </c>
      <c r="F19" s="1"/>
    </row>
    <row r="20" spans="1:6" x14ac:dyDescent="0.35">
      <c r="A20">
        <v>67</v>
      </c>
      <c r="B20">
        <v>75</v>
      </c>
      <c r="C20">
        <v>119</v>
      </c>
      <c r="D20" t="s">
        <v>4</v>
      </c>
      <c r="E20">
        <f t="shared" si="0"/>
        <v>1.0033864291985443E-3</v>
      </c>
      <c r="F20" s="1">
        <f>AVERAGE(E20:E21)</f>
        <v>0.12387831659122263</v>
      </c>
    </row>
    <row r="21" spans="1:6" x14ac:dyDescent="0.35">
      <c r="A21">
        <v>11</v>
      </c>
      <c r="B21">
        <v>30</v>
      </c>
      <c r="C21">
        <v>7</v>
      </c>
      <c r="D21" t="s">
        <v>5</v>
      </c>
      <c r="E21">
        <f t="shared" si="0"/>
        <v>0.24675324675324672</v>
      </c>
      <c r="F21" s="1"/>
    </row>
    <row r="22" spans="1:6" x14ac:dyDescent="0.35">
      <c r="A22">
        <v>40</v>
      </c>
      <c r="B22">
        <v>55</v>
      </c>
      <c r="C22">
        <v>62</v>
      </c>
      <c r="D22" t="s">
        <v>4</v>
      </c>
      <c r="E22">
        <f t="shared" si="0"/>
        <v>6.0483870967741934E-3</v>
      </c>
      <c r="F22" s="1">
        <f>AVERAGE(E22:E23)</f>
        <v>2.3306380497240712E-2</v>
      </c>
    </row>
    <row r="23" spans="1:6" x14ac:dyDescent="0.35">
      <c r="A23">
        <v>27</v>
      </c>
      <c r="B23">
        <v>50</v>
      </c>
      <c r="C23">
        <v>21</v>
      </c>
      <c r="D23" t="s">
        <v>5</v>
      </c>
      <c r="E23">
        <f t="shared" si="0"/>
        <v>4.0564373897707229E-2</v>
      </c>
      <c r="F23" s="1"/>
    </row>
    <row r="24" spans="1:6" x14ac:dyDescent="0.35">
      <c r="A24">
        <v>67</v>
      </c>
      <c r="B24">
        <v>75</v>
      </c>
      <c r="C24">
        <v>119</v>
      </c>
      <c r="D24" t="s">
        <v>4</v>
      </c>
      <c r="E24">
        <f t="shared" si="0"/>
        <v>1.0033864291985443E-3</v>
      </c>
      <c r="F24" s="1">
        <f>AVERAGE(E24:E25)</f>
        <v>0.12387831659122263</v>
      </c>
    </row>
    <row r="25" spans="1:6" x14ac:dyDescent="0.35">
      <c r="A25">
        <v>11</v>
      </c>
      <c r="B25">
        <v>30</v>
      </c>
      <c r="C25">
        <v>7</v>
      </c>
      <c r="D25" t="s">
        <v>5</v>
      </c>
      <c r="E25">
        <f t="shared" si="0"/>
        <v>0.24675324675324672</v>
      </c>
      <c r="F25" s="1"/>
    </row>
    <row r="26" spans="1:6" x14ac:dyDescent="0.35">
      <c r="A26">
        <v>67</v>
      </c>
      <c r="B26">
        <v>75</v>
      </c>
      <c r="C26">
        <v>119</v>
      </c>
      <c r="D26" t="s">
        <v>4</v>
      </c>
      <c r="E26">
        <f t="shared" si="0"/>
        <v>1.0033864291985443E-3</v>
      </c>
      <c r="F26" s="1">
        <f>AVERAGE(E26:E27)</f>
        <v>5.1783744496650561E-2</v>
      </c>
    </row>
    <row r="27" spans="1:6" x14ac:dyDescent="0.35">
      <c r="A27">
        <v>15</v>
      </c>
      <c r="B27">
        <v>35</v>
      </c>
      <c r="C27">
        <v>13</v>
      </c>
      <c r="D27" t="s">
        <v>5</v>
      </c>
      <c r="E27">
        <f t="shared" si="0"/>
        <v>0.10256410256410257</v>
      </c>
      <c r="F27" s="1"/>
    </row>
    <row r="28" spans="1:6" x14ac:dyDescent="0.35">
      <c r="A28">
        <v>78</v>
      </c>
      <c r="B28">
        <v>80</v>
      </c>
      <c r="C28">
        <v>162</v>
      </c>
      <c r="D28" t="s">
        <v>4</v>
      </c>
      <c r="E28">
        <f t="shared" si="0"/>
        <v>1.5827793605571326E-4</v>
      </c>
      <c r="F28" s="1">
        <f>AVERAGE(E28:E29)</f>
        <v>0.12345576234465122</v>
      </c>
    </row>
    <row r="29" spans="1:6" x14ac:dyDescent="0.35">
      <c r="A29">
        <v>11</v>
      </c>
      <c r="B29">
        <v>30</v>
      </c>
      <c r="C29">
        <v>7</v>
      </c>
      <c r="D29" t="s">
        <v>5</v>
      </c>
      <c r="E29">
        <f t="shared" si="0"/>
        <v>0.24675324675324672</v>
      </c>
      <c r="F29" s="1"/>
    </row>
    <row r="30" spans="1:6" x14ac:dyDescent="0.35">
      <c r="A30">
        <v>67</v>
      </c>
      <c r="B30">
        <v>75</v>
      </c>
      <c r="C30">
        <v>119</v>
      </c>
      <c r="D30" t="s">
        <v>4</v>
      </c>
      <c r="E30">
        <f t="shared" si="0"/>
        <v>1.0033864291985443E-3</v>
      </c>
      <c r="F30" s="1">
        <f>AVERAGE(E30:E31)</f>
        <v>2.0783880163452888E-2</v>
      </c>
    </row>
    <row r="31" spans="1:6" x14ac:dyDescent="0.35">
      <c r="A31">
        <v>27</v>
      </c>
      <c r="B31">
        <v>50</v>
      </c>
      <c r="C31">
        <v>21</v>
      </c>
      <c r="D31" t="s">
        <v>5</v>
      </c>
      <c r="E31">
        <f t="shared" si="0"/>
        <v>4.0564373897707229E-2</v>
      </c>
      <c r="F31" s="1"/>
    </row>
    <row r="32" spans="1:6" x14ac:dyDescent="0.35">
      <c r="A32">
        <v>49</v>
      </c>
      <c r="B32">
        <v>60</v>
      </c>
      <c r="C32">
        <v>89</v>
      </c>
      <c r="D32" t="s">
        <v>4</v>
      </c>
      <c r="E32">
        <f t="shared" si="0"/>
        <v>2.522357257509746E-3</v>
      </c>
      <c r="F32" s="1">
        <f>AVERAGE(E32:E33)</f>
        <v>5.2543229910806163E-2</v>
      </c>
    </row>
    <row r="33" spans="1:6" x14ac:dyDescent="0.35">
      <c r="A33">
        <v>15</v>
      </c>
      <c r="B33">
        <v>35</v>
      </c>
      <c r="C33">
        <v>13</v>
      </c>
      <c r="D33" t="s">
        <v>5</v>
      </c>
      <c r="E33">
        <f t="shared" si="0"/>
        <v>0.10256410256410257</v>
      </c>
      <c r="F33" s="1"/>
    </row>
    <row r="34" spans="1:6" x14ac:dyDescent="0.35">
      <c r="A34">
        <v>78</v>
      </c>
      <c r="B34">
        <v>80</v>
      </c>
      <c r="C34">
        <v>162</v>
      </c>
      <c r="D34" t="s">
        <v>4</v>
      </c>
      <c r="E34">
        <f t="shared" si="0"/>
        <v>1.5827793605571326E-4</v>
      </c>
      <c r="F34" s="1">
        <f>AVERAGE(E34:E35)</f>
        <v>0.12345576234465122</v>
      </c>
    </row>
    <row r="35" spans="1:6" x14ac:dyDescent="0.35">
      <c r="A35">
        <v>11</v>
      </c>
      <c r="B35">
        <v>30</v>
      </c>
      <c r="C35">
        <v>7</v>
      </c>
      <c r="D35" t="s">
        <v>5</v>
      </c>
      <c r="E35">
        <f t="shared" si="0"/>
        <v>0.24675324675324672</v>
      </c>
      <c r="F35" s="1"/>
    </row>
    <row r="36" spans="1:6" x14ac:dyDescent="0.35">
      <c r="A36">
        <v>49</v>
      </c>
      <c r="B36">
        <v>60</v>
      </c>
      <c r="C36">
        <v>89</v>
      </c>
      <c r="D36" t="s">
        <v>4</v>
      </c>
      <c r="E36">
        <f t="shared" si="0"/>
        <v>2.522357257509746E-3</v>
      </c>
      <c r="F36" s="1">
        <f>AVERAGE(E36:E37)</f>
        <v>2.1543365577608487E-2</v>
      </c>
    </row>
    <row r="37" spans="1:6" x14ac:dyDescent="0.35">
      <c r="A37">
        <v>27</v>
      </c>
      <c r="B37">
        <v>50</v>
      </c>
      <c r="C37">
        <v>21</v>
      </c>
      <c r="D37" t="s">
        <v>5</v>
      </c>
      <c r="E37">
        <f t="shared" si="0"/>
        <v>4.0564373897707229E-2</v>
      </c>
      <c r="F37" s="1"/>
    </row>
    <row r="38" spans="1:6" x14ac:dyDescent="0.35">
      <c r="A38">
        <v>49</v>
      </c>
      <c r="B38">
        <v>60</v>
      </c>
      <c r="C38">
        <v>89</v>
      </c>
      <c r="D38" t="s">
        <v>4</v>
      </c>
      <c r="E38">
        <f t="shared" si="0"/>
        <v>2.522357257509746E-3</v>
      </c>
      <c r="F38" s="1">
        <f>AVERAGE(E38:E39)</f>
        <v>2.1543365577608487E-2</v>
      </c>
    </row>
    <row r="39" spans="1:6" x14ac:dyDescent="0.35">
      <c r="A39">
        <v>27</v>
      </c>
      <c r="B39">
        <v>50</v>
      </c>
      <c r="C39">
        <v>21</v>
      </c>
      <c r="D39" t="s">
        <v>5</v>
      </c>
      <c r="E39">
        <f t="shared" si="0"/>
        <v>4.0564373897707229E-2</v>
      </c>
      <c r="F39" s="1"/>
    </row>
    <row r="40" spans="1:6" x14ac:dyDescent="0.35">
      <c r="A40">
        <v>67</v>
      </c>
      <c r="B40">
        <v>75</v>
      </c>
      <c r="C40">
        <v>119</v>
      </c>
      <c r="D40" t="s">
        <v>4</v>
      </c>
      <c r="E40">
        <f t="shared" si="0"/>
        <v>1.0033864291985443E-3</v>
      </c>
      <c r="F40" s="1">
        <f>AVERAGE(E40:E41)</f>
        <v>0.12387831659122263</v>
      </c>
    </row>
    <row r="41" spans="1:6" x14ac:dyDescent="0.35">
      <c r="A41">
        <v>11</v>
      </c>
      <c r="B41">
        <v>30</v>
      </c>
      <c r="C41">
        <v>7</v>
      </c>
      <c r="D41" t="s">
        <v>5</v>
      </c>
      <c r="E41">
        <f t="shared" si="0"/>
        <v>0.24675324675324672</v>
      </c>
      <c r="F41" s="1"/>
    </row>
    <row r="42" spans="1:6" x14ac:dyDescent="0.35">
      <c r="A42">
        <v>40</v>
      </c>
      <c r="B42">
        <v>55</v>
      </c>
      <c r="C42">
        <v>62</v>
      </c>
      <c r="D42" t="s">
        <v>4</v>
      </c>
      <c r="E42">
        <f t="shared" si="0"/>
        <v>6.0483870967741934E-3</v>
      </c>
      <c r="F42" s="1">
        <f>AVERAGE(E42:E43)</f>
        <v>5.4306244830438381E-2</v>
      </c>
    </row>
    <row r="43" spans="1:6" x14ac:dyDescent="0.35">
      <c r="A43">
        <v>15</v>
      </c>
      <c r="B43">
        <v>35</v>
      </c>
      <c r="C43">
        <v>13</v>
      </c>
      <c r="D43" t="s">
        <v>5</v>
      </c>
      <c r="E43">
        <f t="shared" si="0"/>
        <v>0.10256410256410257</v>
      </c>
      <c r="F43" s="1"/>
    </row>
    <row r="44" spans="1:6" x14ac:dyDescent="0.35">
      <c r="A44">
        <v>49</v>
      </c>
      <c r="B44">
        <v>60</v>
      </c>
      <c r="C44">
        <v>89</v>
      </c>
      <c r="D44" t="s">
        <v>4</v>
      </c>
      <c r="E44">
        <f t="shared" si="0"/>
        <v>2.522357257509746E-3</v>
      </c>
      <c r="F44" s="1">
        <f>AVERAGE(E44:E45)</f>
        <v>2.1543365577608487E-2</v>
      </c>
    </row>
    <row r="45" spans="1:6" x14ac:dyDescent="0.35">
      <c r="A45">
        <v>27</v>
      </c>
      <c r="B45">
        <v>50</v>
      </c>
      <c r="C45">
        <v>21</v>
      </c>
      <c r="D45" t="s">
        <v>5</v>
      </c>
      <c r="E45">
        <f t="shared" si="0"/>
        <v>4.0564373897707229E-2</v>
      </c>
      <c r="F45" s="1"/>
    </row>
    <row r="46" spans="1:6" x14ac:dyDescent="0.35">
      <c r="A46">
        <v>78</v>
      </c>
      <c r="B46">
        <v>80</v>
      </c>
      <c r="C46">
        <v>162</v>
      </c>
      <c r="D46" t="s">
        <v>4</v>
      </c>
      <c r="E46">
        <f t="shared" si="0"/>
        <v>1.5827793605571326E-4</v>
      </c>
      <c r="F46" s="1">
        <f>AVERAGE(E46:E47)</f>
        <v>0.12345576234465122</v>
      </c>
    </row>
    <row r="47" spans="1:6" x14ac:dyDescent="0.35">
      <c r="A47">
        <v>11</v>
      </c>
      <c r="B47">
        <v>30</v>
      </c>
      <c r="C47">
        <v>7</v>
      </c>
      <c r="D47" t="s">
        <v>5</v>
      </c>
      <c r="E47">
        <f t="shared" si="0"/>
        <v>0.24675324675324672</v>
      </c>
      <c r="F47" s="1"/>
    </row>
    <row r="48" spans="1:6" x14ac:dyDescent="0.35">
      <c r="A48">
        <v>49</v>
      </c>
      <c r="B48">
        <v>60</v>
      </c>
      <c r="C48">
        <v>89</v>
      </c>
      <c r="D48" t="s">
        <v>4</v>
      </c>
      <c r="E48">
        <f t="shared" si="0"/>
        <v>2.522357257509746E-3</v>
      </c>
      <c r="F48" s="1">
        <f>AVERAGE(E48:E49)</f>
        <v>0.12463780200537823</v>
      </c>
    </row>
    <row r="49" spans="1:6" x14ac:dyDescent="0.35">
      <c r="A49">
        <v>11</v>
      </c>
      <c r="B49">
        <v>30</v>
      </c>
      <c r="C49">
        <v>7</v>
      </c>
      <c r="D49" t="s">
        <v>5</v>
      </c>
      <c r="E49">
        <f t="shared" si="0"/>
        <v>0.24675324675324672</v>
      </c>
      <c r="F49" s="1"/>
    </row>
    <row r="50" spans="1:6" x14ac:dyDescent="0.35">
      <c r="A50">
        <v>40</v>
      </c>
      <c r="B50">
        <v>55</v>
      </c>
      <c r="C50">
        <v>62</v>
      </c>
      <c r="D50" t="s">
        <v>4</v>
      </c>
      <c r="E50">
        <f t="shared" si="0"/>
        <v>6.0483870967741934E-3</v>
      </c>
      <c r="F50" s="1">
        <f>AVERAGE(E50:E51)</f>
        <v>5.4306244830438381E-2</v>
      </c>
    </row>
    <row r="51" spans="1:6" x14ac:dyDescent="0.35">
      <c r="A51">
        <v>15</v>
      </c>
      <c r="B51">
        <v>35</v>
      </c>
      <c r="C51">
        <v>13</v>
      </c>
      <c r="D51" t="s">
        <v>5</v>
      </c>
      <c r="E51">
        <f t="shared" si="0"/>
        <v>0.10256410256410257</v>
      </c>
      <c r="F51" s="1"/>
    </row>
    <row r="52" spans="1:6" x14ac:dyDescent="0.35">
      <c r="A52">
        <v>67</v>
      </c>
      <c r="B52">
        <v>75</v>
      </c>
      <c r="C52">
        <v>119</v>
      </c>
      <c r="D52" t="s">
        <v>4</v>
      </c>
      <c r="E52">
        <f t="shared" si="0"/>
        <v>1.0033864291985443E-3</v>
      </c>
      <c r="F52" s="1">
        <f>AVERAGE(E52:E53)</f>
        <v>2.0783880163452888E-2</v>
      </c>
    </row>
    <row r="53" spans="1:6" x14ac:dyDescent="0.35">
      <c r="A53">
        <v>27</v>
      </c>
      <c r="B53">
        <v>50</v>
      </c>
      <c r="C53">
        <v>21</v>
      </c>
      <c r="D53" t="s">
        <v>5</v>
      </c>
      <c r="E53">
        <f t="shared" si="0"/>
        <v>4.0564373897707229E-2</v>
      </c>
      <c r="F53" s="1"/>
    </row>
    <row r="54" spans="1:6" x14ac:dyDescent="0.35">
      <c r="A54">
        <v>49</v>
      </c>
      <c r="B54">
        <v>60</v>
      </c>
      <c r="C54">
        <v>89</v>
      </c>
      <c r="D54" t="s">
        <v>4</v>
      </c>
      <c r="E54">
        <f t="shared" si="0"/>
        <v>2.522357257509746E-3</v>
      </c>
      <c r="F54" s="1">
        <f>AVERAGE(E54:E55)</f>
        <v>0.12463780200537823</v>
      </c>
    </row>
    <row r="55" spans="1:6" x14ac:dyDescent="0.35">
      <c r="A55">
        <v>11</v>
      </c>
      <c r="B55">
        <v>30</v>
      </c>
      <c r="C55">
        <v>7</v>
      </c>
      <c r="D55" t="s">
        <v>5</v>
      </c>
      <c r="E55">
        <f t="shared" si="0"/>
        <v>0.24675324675324672</v>
      </c>
      <c r="F55" s="1"/>
    </row>
    <row r="56" spans="1:6" x14ac:dyDescent="0.35">
      <c r="A56">
        <v>40</v>
      </c>
      <c r="B56">
        <v>55</v>
      </c>
      <c r="C56">
        <v>62</v>
      </c>
      <c r="D56" t="s">
        <v>4</v>
      </c>
      <c r="E56">
        <f t="shared" si="0"/>
        <v>6.0483870967741934E-3</v>
      </c>
      <c r="F56" s="1">
        <f>AVERAGE(E56:E57)</f>
        <v>5.4306244830438381E-2</v>
      </c>
    </row>
    <row r="57" spans="1:6" x14ac:dyDescent="0.35">
      <c r="A57">
        <v>15</v>
      </c>
      <c r="B57">
        <v>35</v>
      </c>
      <c r="C57">
        <v>13</v>
      </c>
      <c r="D57" t="s">
        <v>5</v>
      </c>
      <c r="E57">
        <f t="shared" si="0"/>
        <v>0.10256410256410257</v>
      </c>
      <c r="F57" s="1"/>
    </row>
    <row r="58" spans="1:6" x14ac:dyDescent="0.35">
      <c r="A58">
        <v>49</v>
      </c>
      <c r="B58">
        <v>60</v>
      </c>
      <c r="C58">
        <v>89</v>
      </c>
      <c r="D58" t="s">
        <v>4</v>
      </c>
      <c r="E58">
        <f t="shared" si="0"/>
        <v>2.522357257509746E-3</v>
      </c>
      <c r="F58" s="1">
        <f>AVERAGE(E58:E59)</f>
        <v>2.1543365577608487E-2</v>
      </c>
    </row>
    <row r="59" spans="1:6" x14ac:dyDescent="0.35">
      <c r="A59">
        <v>27</v>
      </c>
      <c r="B59">
        <v>50</v>
      </c>
      <c r="C59">
        <v>21</v>
      </c>
      <c r="D59" t="s">
        <v>5</v>
      </c>
      <c r="E59">
        <f t="shared" si="0"/>
        <v>4.0564373897707229E-2</v>
      </c>
      <c r="F59" s="1"/>
    </row>
    <row r="60" spans="1:6" x14ac:dyDescent="0.35">
      <c r="A60">
        <v>67</v>
      </c>
      <c r="B60">
        <v>75</v>
      </c>
      <c r="C60">
        <v>119</v>
      </c>
      <c r="D60" t="s">
        <v>4</v>
      </c>
      <c r="E60">
        <f t="shared" si="0"/>
        <v>1.0033864291985443E-3</v>
      </c>
      <c r="F60" s="1">
        <f>AVERAGE(E60:E61)</f>
        <v>5.1783744496650561E-2</v>
      </c>
    </row>
    <row r="61" spans="1:6" x14ac:dyDescent="0.35">
      <c r="A61">
        <v>15</v>
      </c>
      <c r="B61">
        <v>35</v>
      </c>
      <c r="C61">
        <v>13</v>
      </c>
      <c r="D61" t="s">
        <v>5</v>
      </c>
      <c r="E61">
        <f t="shared" si="0"/>
        <v>0.10256410256410257</v>
      </c>
      <c r="F61" s="1"/>
    </row>
    <row r="62" spans="1:6" x14ac:dyDescent="0.35">
      <c r="A62">
        <v>40</v>
      </c>
      <c r="B62">
        <v>55</v>
      </c>
      <c r="C62">
        <v>62</v>
      </c>
      <c r="D62" t="s">
        <v>4</v>
      </c>
      <c r="E62">
        <f t="shared" si="0"/>
        <v>6.0483870967741934E-3</v>
      </c>
      <c r="F62" s="1">
        <f>AVERAGE(E62:E63)</f>
        <v>2.3306380497240712E-2</v>
      </c>
    </row>
    <row r="63" spans="1:6" x14ac:dyDescent="0.35">
      <c r="A63">
        <v>27</v>
      </c>
      <c r="B63">
        <v>50</v>
      </c>
      <c r="C63">
        <v>21</v>
      </c>
      <c r="D63" t="s">
        <v>5</v>
      </c>
      <c r="E63">
        <f t="shared" si="0"/>
        <v>4.0564373897707229E-2</v>
      </c>
      <c r="F63" s="1"/>
    </row>
    <row r="64" spans="1:6" x14ac:dyDescent="0.35">
      <c r="A64">
        <v>40</v>
      </c>
      <c r="B64">
        <v>55</v>
      </c>
      <c r="C64">
        <v>62</v>
      </c>
      <c r="D64" t="s">
        <v>4</v>
      </c>
      <c r="E64">
        <f t="shared" si="0"/>
        <v>6.0483870967741934E-3</v>
      </c>
      <c r="F64" s="1">
        <f>AVERAGE(E64:E65)</f>
        <v>0.12640081692501046</v>
      </c>
    </row>
    <row r="65" spans="1:6" x14ac:dyDescent="0.35">
      <c r="A65">
        <v>11</v>
      </c>
      <c r="B65">
        <v>30</v>
      </c>
      <c r="C65">
        <v>7</v>
      </c>
      <c r="D65" t="s">
        <v>5</v>
      </c>
      <c r="E65">
        <f t="shared" si="0"/>
        <v>0.24675324675324672</v>
      </c>
      <c r="F65" s="1"/>
    </row>
    <row r="66" spans="1:6" x14ac:dyDescent="0.35">
      <c r="E66" s="2" t="s">
        <v>8</v>
      </c>
      <c r="F66">
        <f>AVERAGE(F2:F65)</f>
        <v>6.3569117461029861E-2</v>
      </c>
    </row>
  </sheetData>
  <mergeCells count="32">
    <mergeCell ref="F62:F63"/>
    <mergeCell ref="F64:F65"/>
    <mergeCell ref="F34:F35"/>
    <mergeCell ref="F36:F37"/>
    <mergeCell ref="F50:F51"/>
    <mergeCell ref="F52:F53"/>
    <mergeCell ref="F54:F55"/>
    <mergeCell ref="F56:F57"/>
    <mergeCell ref="F58:F59"/>
    <mergeCell ref="F60:F61"/>
    <mergeCell ref="F38:F39"/>
    <mergeCell ref="F40:F41"/>
    <mergeCell ref="F42:F43"/>
    <mergeCell ref="F44:F45"/>
    <mergeCell ref="F46:F47"/>
    <mergeCell ref="F48:F49"/>
    <mergeCell ref="F26:F27"/>
    <mergeCell ref="F28:F29"/>
    <mergeCell ref="F30:F31"/>
    <mergeCell ref="F32:F33"/>
    <mergeCell ref="F14:F15"/>
    <mergeCell ref="F16:F17"/>
    <mergeCell ref="F18:F19"/>
    <mergeCell ref="F20:F21"/>
    <mergeCell ref="F22:F23"/>
    <mergeCell ref="F24:F25"/>
    <mergeCell ref="F2:F3"/>
    <mergeCell ref="F4:F5"/>
    <mergeCell ref="F6:F7"/>
    <mergeCell ref="F8:F9"/>
    <mergeCell ref="F10:F11"/>
    <mergeCell ref="F12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</vt:lpstr>
      <vt:lpstr>P001</vt:lpstr>
      <vt:lpstr>P002</vt:lpstr>
      <vt:lpstr>P003</vt:lpstr>
      <vt:lpstr>P004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 Modi</dc:creator>
  <cp:lastModifiedBy>Darsh Modi</cp:lastModifiedBy>
  <dcterms:created xsi:type="dcterms:W3CDTF">2015-06-05T18:17:20Z</dcterms:created>
  <dcterms:modified xsi:type="dcterms:W3CDTF">2025-11-05T14:50:49Z</dcterms:modified>
</cp:coreProperties>
</file>